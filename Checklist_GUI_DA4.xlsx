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50" firstSheet="4" activeTab="6"/>
  </bookViews>
  <sheets>
    <sheet name="Checklist_Đăng nhập" sheetId="1" r:id="rId1"/>
    <sheet name="Checklist_Tìm kiếm" sheetId="21" r:id="rId2"/>
    <sheet name="Checklist_Trang chủ" sheetId="16" r:id="rId3"/>
    <sheet name="Checklist_GioHang" sheetId="18" r:id="rId4"/>
    <sheet name="Checklist_SanPham" sheetId="20" r:id="rId5"/>
    <sheet name="Checklist_DonHang" sheetId="22" r:id="rId6"/>
    <sheet name="Checklist_KhuyenMai" sheetId="23" r:id="rId7"/>
    <sheet name="Test_Report" sheetId="2" r:id="rId8"/>
    <sheet name="Cover" sheetId="3" r:id="rId9"/>
  </sheets>
  <externalReferences>
    <externalReference r:id="rId10"/>
    <externalReference r:id="rId11"/>
  </externalReferences>
  <definedNames>
    <definedName name="Category" localSheetId="0">#REF!</definedName>
    <definedName name="Category">#REF!</definedName>
    <definedName name="Category" localSheetId="2">#REF!</definedName>
    <definedName name="Category" localSheetId="3">#REF!</definedName>
    <definedName name="Category" localSheetId="4">#REF!</definedName>
    <definedName name="Category" localSheetId="1">#REF!</definedName>
    <definedName name="Category" localSheetId="5">#REF!</definedName>
    <definedName name="Category" localSheetId="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<sst xmlns="http://schemas.openxmlformats.org/spreadsheetml/2006/main" count="467" uniqueCount="391">
  <si>
    <t>ID</t>
  </si>
  <si>
    <t>Hạng mục</t>
  </si>
  <si>
    <t>Checklist</t>
  </si>
  <si>
    <t>CL_DN1</t>
  </si>
  <si>
    <t>Tiêu đề trang</t>
  </si>
  <si>
    <t>Kiểm tra tiêu đề “ĐĂNG NHẬP” hiển thị rõ ràng, chính tả đúng, font chữ đồng nhất</t>
  </si>
  <si>
    <t>CL_DN2</t>
  </si>
  <si>
    <t>Layout</t>
  </si>
  <si>
    <t>Phần “Đăng ký” và “Đăng nhập” được bố trí song song, căn lề đều, không tràn khung</t>
  </si>
  <si>
    <t>CL_DN3</t>
  </si>
  <si>
    <t>Nhãn Email</t>
  </si>
  <si>
    <t>Hiển thị “Email*” có dấu sao bắt buộc, không lỗi font</t>
  </si>
  <si>
    <t>CL_DN4</t>
  </si>
  <si>
    <t>Nhãn Mật khẩu</t>
  </si>
  <si>
    <t>Hiển thị “Mật khẩu*”, dấu sao đúng định dạng, không bị lệch</t>
  </si>
  <si>
    <t>CL_DN5</t>
  </si>
  <si>
    <t>Placeholder</t>
  </si>
  <si>
    <t>Trường Email có placeholder “Email”, trường Mật khẩu có “Mật khẩu”</t>
  </si>
  <si>
    <t>CL_DN6</t>
  </si>
  <si>
    <t>Nút Đăng nhập</t>
  </si>
  <si>
    <t>Nút hiển thị rõ, màu sắc nổi bật, hover đổi màu đúng chuẩn</t>
  </si>
  <si>
    <t>CL_DN7</t>
  </si>
  <si>
    <t>Liên kết “Mất mật khẩu?”</t>
  </si>
  <si>
    <t>Hiển thị rõ ràng, điều hướng được</t>
  </si>
  <si>
    <t>CL_DN8</t>
  </si>
  <si>
    <t>Thông báo lỗi</t>
  </si>
  <si>
    <t>Khi để trống hoặc sai dữ liệu, hiển thị “Bắt buộc” màu đỏ</t>
  </si>
  <si>
    <t>CL_DN9</t>
  </si>
  <si>
    <t>Font &amp; Màu sắc</t>
  </si>
  <si>
    <t>Font chữ đồng bộ toàn trang, màu tương phản tốt</t>
  </si>
  <si>
    <t>CL_DN10</t>
  </si>
  <si>
    <t>Responsive</t>
  </si>
  <si>
    <t>Giao diện không bị vỡ khi thu nhỏ (mobile/tablet)</t>
  </si>
  <si>
    <t>CL_DN11</t>
  </si>
  <si>
    <t>Usability</t>
  </si>
  <si>
    <t>Click “Đăng ký ngay” → mở form đăng ký</t>
  </si>
  <si>
    <t>CL_DN12</t>
  </si>
  <si>
    <t>Click icon “X” → đóng form đăng nhập</t>
  </si>
  <si>
    <t>CL_DN14</t>
  </si>
  <si>
    <t>Tab/Enter điều hướng đúng thứ tự (Email → Mật khẩu → Đăng nhập)</t>
  </si>
  <si>
    <t>CL_DN15</t>
  </si>
  <si>
    <t>Form hiển thị cân đối trên PC, Tablet, Mobile</t>
  </si>
  <si>
    <t>CL_DN16</t>
  </si>
  <si>
    <t>Không bị vỡ layout khi thu nhỏ màn hình</t>
  </si>
  <si>
    <t>CL_TS-1</t>
  </si>
  <si>
    <t>Thanh tìm kiếm</t>
  </si>
  <si>
    <t>Hiển thị rõ ràng, có placeholder “sản phẩm”.</t>
  </si>
  <si>
    <t>CL_TS-2</t>
  </si>
  <si>
    <t>Nút tìm kiếm (icon kính lúp)</t>
  </si>
  <si>
    <t>Hiển thị đúng biểu tượng, căn chỉnh bên phải ô input, có thể click.</t>
  </si>
  <si>
    <t>CL_TS-3</t>
  </si>
  <si>
    <t>Logo website</t>
  </si>
  <si>
    <t>Hiển thị rõ, đúng vị trí góc trái trên cùng.</t>
  </si>
  <si>
    <t>CL_TS-4</t>
  </si>
  <si>
    <t>Menu điều hướng</t>
  </si>
  <si>
    <t>Các mục “TRANG CHỦ”, “KHUYẾN MÃI”, “SẢN PHẨM”, “ĐƠN HÀNG”, “LIÊN HỆ” hiển thị đều nhau, dễ đọc.</t>
  </si>
  <si>
    <t>CL_TS-5</t>
  </si>
  <si>
    <t>Kết quả tìm kiếm</t>
  </si>
  <si>
    <t>Hiển thị tiêu đề “Kết quả tìm kiếm với từ khóa ...” rõ ràng, đúng chính tả.</t>
  </si>
  <si>
    <t>CL_TS-6</t>
  </si>
  <si>
    <t>Danh sách sản phẩm</t>
  </si>
  <si>
    <t>Hiển thị theo dạng lưới (grid), hình ảnh rõ, không méo hoặc vỡ.</t>
  </si>
  <si>
    <t>CL_TS-7</t>
  </si>
  <si>
    <t>Ảnh sản phẩm</t>
  </si>
  <si>
    <t>Tỉ lệ ảnh đồng nhất giữa các sản phẩm, không bị kéo giãn.</t>
  </si>
  <si>
    <t>CL_TS-8</t>
  </si>
  <si>
    <t>Tên sản phẩm</t>
  </si>
  <si>
    <t>Hiển thị phía dưới ảnh, chữ không bị cắt, đọc được đầy đủ.</t>
  </si>
  <si>
    <t>CL_TS-9</t>
  </si>
  <si>
    <t>Biểu tượng giỏ hàng &amp; yêu thích</t>
  </si>
  <si>
    <t>Hiển thị góc phải header, không bị đè, căn chỉnh đều nhau.</t>
  </si>
  <si>
    <t>CL_TS-10</t>
  </si>
  <si>
    <t>Màu sắc &amp; font chữ</t>
  </si>
  <si>
    <t>Đồng bộ với theme của website (xanh lam, trắng), chữ dễ đọc.</t>
  </si>
  <si>
    <t>CL_TS-11</t>
  </si>
  <si>
    <t>Giao diện hiển thị tốt trên màn hình nhỏ (mobile), không tràn khung.</t>
  </si>
  <si>
    <t>CL_ND-01</t>
  </si>
  <si>
    <t>Banner chính</t>
  </si>
  <si>
    <t>Ảnh banner hiển thị rõ, không mờ, không lỗi căn chỉnh</t>
  </si>
  <si>
    <t>CL_ND-02</t>
  </si>
  <si>
    <t>Tiêu đề khu vực sản phẩm</t>
  </si>
  <si>
    <t>Có tiêu đề “Sản phẩm mới nhất”, “Sản phẩm bán chạy”, canh giữa, cỡ chữ nổi bật</t>
  </si>
  <si>
    <t>CL_ND-03</t>
  </si>
  <si>
    <t>Danh sách sản phẩm mới nhất</t>
  </si>
  <si>
    <t>Hiển thị ít nhất 3–4 sản phẩm, có hình ảnh, tên, giá</t>
  </si>
  <si>
    <t>CL_ND-04</t>
  </si>
  <si>
    <t>Thông tin sản phẩm</t>
  </si>
  <si>
    <t>Tên sản phẩm rõ ràng, giá đúng định dạng, không tràn chữ</t>
  </si>
  <si>
    <t>CL_ND-05</t>
  </si>
  <si>
    <t>Nút “Thêm vào giỏ hàng” hoặc “Xem chi tiết”</t>
  </si>
  <si>
    <t>Hiển thị đầy đủ, rõ ràng, click được</t>
  </si>
  <si>
    <t>CL_ND-06</t>
  </si>
  <si>
    <t>Hình ảnh sản phẩm</t>
  </si>
  <si>
    <t>Ảnh hiển thị rõ, không méo, không lỗi, cùng kích thước</t>
  </si>
  <si>
    <t>CL_ND-07</t>
  </si>
  <si>
    <t>Sản phẩm bán chạy</t>
  </si>
  <si>
    <t>Có hiển thị nhãn “Hot” hoặc “Sale” đúng vị trí</t>
  </si>
  <si>
    <t>CL_ND-08</t>
  </si>
  <si>
    <t>Khu vực tin tức (nếu có)</t>
  </si>
  <si>
    <t>Hiển thị ít nhất 2 bài viết, có hình đại diện, tiêu đề, mô tả ngắn</t>
  </si>
  <si>
    <t>CL_ND-09</t>
  </si>
  <si>
    <t>Footer</t>
  </si>
  <si>
    <t>Hiển thị đầy đủ thông tin: liên hệ, chính sách, bản quyền, logo Bộ Công Thương</t>
  </si>
  <si>
    <t>CL_ND-10</t>
  </si>
  <si>
    <t>Tương thích giao diện</t>
  </si>
  <si>
    <t>Khi thu nhỏ trình duyệt, các khối không bị vỡ layout (responsive ok)</t>
  </si>
  <si>
    <t>Kết quả mong đợi</t>
  </si>
  <si>
    <t>CL_GH_01</t>
  </si>
  <si>
    <t>Hiển thị sản phẩm trong giỏ</t>
  </si>
  <si>
    <t>Kiểm tra danh sách sản phẩm hiển thị đúng với những gì người dùng đã thêm</t>
  </si>
  <si>
    <t>Danh sách sản phẩm hiển thị đầy đủ: tên, hình ảnh, giá, số lượng, tổng tiền</t>
  </si>
  <si>
    <t>CL_GH_02</t>
  </si>
  <si>
    <t>Kiểm tra hình ảnh hiển thị tương ứng với từng sản phẩm</t>
  </si>
  <si>
    <t>Hình ảnh đúng, rõ nét, không lỗi tải ảnh</t>
  </si>
  <si>
    <t>CL_GH_03</t>
  </si>
  <si>
    <t>Kiểm tra hiển thị tên sản phẩm</t>
  </si>
  <si>
    <t>Hiển thị chính xác tên, không cắt chữ</t>
  </si>
  <si>
    <t>CL_GH_04</t>
  </si>
  <si>
    <t>Giá từng sản phẩm</t>
  </si>
  <si>
    <t>Kiểm tra hiển thị giá đúng theo từng sản phẩm</t>
  </si>
  <si>
    <t>Giá đúng, có định dạng tiền tệ chuẩn</t>
  </si>
  <si>
    <t>CL_GH_05</t>
  </si>
  <si>
    <t>Cột số lượng</t>
  </si>
  <si>
    <t>Kiểm tra có thể tăng/giảm số lượng sản phẩm</t>
  </si>
  <si>
    <t>Nút “+” tăng, nút “–” giảm hoạt động bình thường</t>
  </si>
  <si>
    <t>CL_GH_06</t>
  </si>
  <si>
    <t>Nhập số lượng thủ công</t>
  </si>
  <si>
    <t>Kiểm tra cho phép nhập số lượng trực tiếp</t>
  </si>
  <si>
    <t>Chỉ chấp nhận giá trị số ≥1</t>
  </si>
  <si>
    <t>CL_GH_07</t>
  </si>
  <si>
    <t>Giới hạn số lượng</t>
  </si>
  <si>
    <t>Kiểm tra giới hạn số lượng tối đa</t>
  </si>
  <si>
    <t>Không cho phép nhập số quá lớn (vd &gt;999)</t>
  </si>
  <si>
    <t>CL_GH_08</t>
  </si>
  <si>
    <t>Tổng cộng tự động cập nhật</t>
  </si>
  <si>
    <t>Kiểm tra tổng tiền thay đổi khi số lượng thay đổi</t>
  </si>
  <si>
    <t>Tổng tiền cập nhật chính xác theo công thức Giá × Số lượng</t>
  </si>
  <si>
    <t>CL_GH_09</t>
  </si>
  <si>
    <t>Xóa sản phẩm</t>
  </si>
  <si>
    <t>Kiểm tra nút “Xóa” hoạt động</t>
  </si>
  <si>
    <t>Sản phẩm bị xóa khỏi giỏ hàng, tổng tiền cập nhật lại</t>
  </si>
  <si>
    <t>CL_GH_10</t>
  </si>
  <si>
    <t>Xóa toàn bộ sản phẩm</t>
  </si>
  <si>
    <t>Kiểm tra khi giỏ hàng trống</t>
  </si>
  <si>
    <t>Hiển thị thông báo “Giỏ hàng trống”</t>
  </si>
  <si>
    <t>CL_GH_11</t>
  </si>
  <si>
    <t>Nút “Tiếp tục mua hàng”</t>
  </si>
  <si>
    <t>Kiểm tra điều hướng nút này</t>
  </si>
  <si>
    <t>Chuyển đến trang danh sách sản phẩm hoặc trang chủ</t>
  </si>
  <si>
    <t>CL_GH_12</t>
  </si>
  <si>
    <t>Nút “Tiến hành thanh toán”</t>
  </si>
  <si>
    <t>Kiểm tra điều hướng</t>
  </si>
  <si>
    <t>Chuyển đến trang thanh toán</t>
  </si>
  <si>
    <t>CL_GH_13</t>
  </si>
  <si>
    <t>Popup giỏ hàng mini</t>
  </si>
  <si>
    <t>Kiểm tra hiển thị popup khi thêm sản phẩm</t>
  </si>
  <si>
    <t>Popup hiển thị tổng tiền, sản phẩm, và 2 nút “Giỏ hàng” – “Thanh toán”</t>
  </si>
  <si>
    <t>CL_GH_14</t>
  </si>
  <si>
    <t>Nút “Giỏ hàng” trong popup</t>
  </si>
  <si>
    <t>Chuyển tới trang chi tiết giỏ hàng</t>
  </si>
  <si>
    <t>CL_GH_15</t>
  </si>
  <si>
    <t>Nút “Thanh toán” trong popup</t>
  </si>
  <si>
    <t>Chuyển tới trang thanh toán</t>
  </si>
  <si>
    <t>CL_GH_16</t>
  </si>
  <si>
    <t>Tổng tiền trong popup</t>
  </si>
  <si>
    <t>Kiểm tra giá tổng hiển thị</t>
  </si>
  <si>
    <t>Tổng tiền khớp với trang giỏ hàng chính</t>
  </si>
  <si>
    <t>CL_GH_17</t>
  </si>
  <si>
    <t>Biểu tượng giỏ hàng</t>
  </si>
  <si>
    <t>Kiểm tra hiển thị số lượng sản phẩm trên biểu tượng</t>
  </si>
  <si>
    <t>Số hiển thị = tổng sản phẩm hiện có</t>
  </si>
  <si>
    <t>CL_GH_18</t>
  </si>
  <si>
    <t>Format giá tiền</t>
  </si>
  <si>
    <t>Kiểm tra hiển thị đơn vị tiền tệ</t>
  </si>
  <si>
    <t>Có dấu chấm ngăn cách, hiển thị “đ”</t>
  </si>
  <si>
    <t>CL_GH_19</t>
  </si>
  <si>
    <t>Reload trang</t>
  </si>
  <si>
    <t>Kiểm tra giữ lại sản phẩm sau khi tải lại</t>
  </si>
  <si>
    <t>Giỏ hàng không mất sản phẩm</t>
  </si>
  <si>
    <t>CL_GH_20</t>
  </si>
  <si>
    <t>Thêm cùng sản phẩm nhiều lần</t>
  </si>
  <si>
    <t>Kiểm tra xử lý trùng sản phẩm</t>
  </si>
  <si>
    <t>Số lượng cộng dồn, không thêm dòng mới</t>
  </si>
  <si>
    <t>CL_GH_21</t>
  </si>
  <si>
    <t>Giao diện responsive</t>
  </si>
  <si>
    <t>Kiểm tra hiển thị trên mobile/tablet</t>
  </si>
  <si>
    <t>Giao diện hiển thị rõ, không vỡ layout</t>
  </si>
  <si>
    <t>CL_GH_22</t>
  </si>
  <si>
    <t>Tốc độ tải trang giỏ hàng</t>
  </si>
  <si>
    <t>Kiểm tra thời gian tải trang</t>
  </si>
  <si>
    <t>Trang giỏ hàng tải trong thời gian hợp lý (&lt;3s)</t>
  </si>
  <si>
    <t>CL_GH_23</t>
  </si>
  <si>
    <t>Kiểm tra hiển thị giá giảm (nếu có khuyến mãi)</t>
  </si>
  <si>
    <t>So sánh giá cũ – mới</t>
  </si>
  <si>
    <t>Giá hiển thị đúng, có gạch giá cũ và giá mới</t>
  </si>
  <si>
    <t>CL_GH_24</t>
  </si>
  <si>
    <t>Kiểm tra VAT hoặc phí vận chuyển (nếu có)</t>
  </si>
  <si>
    <t>Kiểm tra hiển thị trong tổng cộng</t>
  </si>
  <si>
    <t>Thông tin hiển thị rõ ràng, cộng vào tổng tiền chính xác</t>
  </si>
  <si>
    <t>CL_GH_25</t>
  </si>
  <si>
    <t>Kiểm tra khi đăng xuất</t>
  </si>
  <si>
    <t>Giữ lại hoặc xóa giỏ hàng tùy thiết kế</t>
  </si>
  <si>
    <t>Hoạt động đúng theo yêu cầu hệ thống</t>
  </si>
  <si>
    <t>CL_GH_26</t>
  </si>
  <si>
    <t>Kiểm tra reload popup giỏ hàng</t>
  </si>
  <si>
    <t>Làm mới trang có popup mở</t>
  </si>
  <si>
    <t>Popup tự đóng hoặc giữ nguyên trạng thái hợp lý</t>
  </si>
  <si>
    <t>CL_SP_01</t>
  </si>
  <si>
    <t>Kiểm tra tiêu đề “Tất cả sản phẩm” hiển thị rõ ràng, căn trái và đúng font chữ</t>
  </si>
  <si>
    <t>CL_SP_02</t>
  </si>
  <si>
    <t>Khu vực danh mục bên trái</t>
  </si>
  <si>
    <t>Hiển thị đầy đủ các danh mục (Thức ăn cho chó, Thức ăn cho mèo, Hamster, Sản phẩm dinh dưỡng, v.v.)</t>
  </si>
  <si>
    <t>CL_SP_03</t>
  </si>
  <si>
    <t>Bộ lọc giá</t>
  </si>
  <si>
    <t>Các khoảng giá hiển thị đầy đủ, checkbox căn đều và dễ click</t>
  </si>
  <si>
    <t>CL_SP_04</t>
  </si>
  <si>
    <t>Mỗi sản phẩm hiển thị hình ảnh, tên, giá, nút “Thêm vào so sánh” và nhãn “Còn hàng” nếu có</t>
  </si>
  <si>
    <t>CL_SP_05</t>
  </si>
  <si>
    <t>Hình ảnh sản phẩm không bị vỡ, đúng tỷ lệ, căn giữa khung</t>
  </si>
  <si>
    <t>CL_SP_06</t>
  </si>
  <si>
    <t>Nút chuyển dạng hiển thị (lưới/danh sách)</t>
  </si>
  <si>
    <t>Nút icon hiển thị rõ, hover đổi màu, hoạt động đúng</t>
  </si>
  <si>
    <t>CL_SP_07</t>
  </si>
  <si>
    <t>Nút sắp xếp</t>
  </si>
  <si>
    <t>Dropdown “Sắp xếp” hiển thị đầy đủ tùy chọn (Giá tăng dần, giảm dần, mới nhất, phổ biến,…)</t>
  </si>
  <si>
    <t>CL_SP_08</t>
  </si>
  <si>
    <t>Khối “Sản phẩm bán chạy” hiển thị ảnh, giá và nút “Thêm vào so sánh” đầy đủ</t>
  </si>
  <si>
    <t>CL_SP_09</t>
  </si>
  <si>
    <t>Khoảng cách layout</t>
  </si>
  <si>
    <t>Các khối sản phẩm cách đều nhau, không tràn hoặc chồng chéo</t>
  </si>
  <si>
    <t>CL_SP_10</t>
  </si>
  <si>
    <t>Nút “Thêm vào so sánh”</t>
  </si>
  <si>
    <t>Hiển thị rõ, màu sắc đúng, hover đổi màu</t>
  </si>
  <si>
    <t>CL_SP_11</t>
  </si>
  <si>
    <t>Nút “Lên đầu trang”</t>
  </si>
  <si>
    <t>Hiển thị icon mũi tên, click hoạt động đúng, căn dưới phải</t>
  </si>
  <si>
    <t>CL_SP_12</t>
  </si>
  <si>
    <t>Icon Facebook</t>
  </si>
  <si>
    <t>Hiển thị đúng vị trí, không che nội dung</t>
  </si>
  <si>
    <t>CL_SP_13</t>
  </si>
  <si>
    <t>Phông chữ và màu sắc</t>
  </si>
  <si>
    <t>Đồng nhất toàn trang, dễ đọc, tuân theo style web</t>
  </si>
  <si>
    <t>CHK_STORE_14</t>
  </si>
  <si>
    <t>Responsive – Mobile</t>
  </si>
  <si>
    <t>Giao diện gọn gàng, không tràn, không mất chữ</t>
  </si>
  <si>
    <t>CHK_STORE_15</t>
  </si>
  <si>
    <t>Responsive – Tablet</t>
  </si>
  <si>
    <t>Giao diện hiển thị đủ, căn chỉnh hợp lý</t>
  </si>
  <si>
    <t>CHK_STORE_16</t>
  </si>
  <si>
    <t>Cuộn trang (scroll)</t>
  </si>
  <si>
    <t>Cuộn lên/xuống mượt, không mất nội dung</t>
  </si>
  <si>
    <t>CHK_STORE_17</t>
  </si>
  <si>
    <t>Hover danh sách cửa hàng</t>
  </si>
  <si>
    <t>Hover highlight (nếu có), không lỗi căn chỉnh</t>
  </si>
  <si>
    <t>CHK_STORE_18</t>
  </si>
  <si>
    <t>Chính tả toàn bộ nội dung</t>
  </si>
  <si>
    <t>Không có lỗi chính tả</t>
  </si>
  <si>
    <t>CHK_STORE_19</t>
  </si>
  <si>
    <t>Font chữ đồng bộ</t>
  </si>
  <si>
    <t>Font chữ đồng nhất với toàn site</t>
  </si>
  <si>
    <t>CHK_STORE_20</t>
  </si>
  <si>
    <t>Màu nền – text</t>
  </si>
  <si>
    <t>Độ tương phản rõ, không gây khó nhìn</t>
  </si>
  <si>
    <t>CL_DH_01</t>
  </si>
  <si>
    <t>Tiêu đề form</t>
  </si>
  <si>
    <t>Tiêu đề “Kiểm tra đơn hàng của bạn” hiển thị rõ, đúng vị trí, icon kính lúp hiển thị đúng</t>
  </si>
  <si>
    <t>CL_DH_02</t>
  </si>
  <si>
    <t>Viền và màu nền form</t>
  </si>
  <si>
    <t>Màu nền xanh nhạt hiển thị đều, viền bo góc rõ ràng, không tràn viền</t>
  </si>
  <si>
    <t>CL_DH_03</t>
  </si>
  <si>
    <t>Nhãn “Kiểm tra bằng”</t>
  </si>
  <si>
    <t>Hiển thị đúng vị trí, căn trái, không bị cắt chữ</t>
  </si>
  <si>
    <t>CL_DH_04</t>
  </si>
  <si>
    <t>Các lựa chọn radio</t>
  </si>
  <si>
    <t>Hiển thị đủ 3 lựa chọn: “Số điện thoại”, “Email”, “Số điện thoại và Email”</t>
  </si>
  <si>
    <t>CL_DH_05</t>
  </si>
  <si>
    <t>Trạng thái radio</t>
  </si>
  <si>
    <t>Mặc định chọn “Số điện thoại”, chọn một radio sẽ bỏ chọn radio khác</t>
  </si>
  <si>
    <t>CL_DH_06</t>
  </si>
  <si>
    <t>Ô nhập liệu</t>
  </si>
  <si>
    <t>Ô nhập liệu có placeholder “0909 xxx xxx”, căn đều, border rõ ràng</t>
  </si>
  <si>
    <t>CL_DH_07</t>
  </si>
  <si>
    <t>Text placeholder hiển thị màu xám nhạt, không bị mờ hoặc mất nét</t>
  </si>
  <si>
    <t>CL_DH_08</t>
  </si>
  <si>
    <t>Nút “Kiểm tra”</t>
  </si>
  <si>
    <t>Hiển thị rõ, màu xanh dương đúng tông, chữ trắng dễ đọc</t>
  </si>
  <si>
    <t>CL_DH_09</t>
  </si>
  <si>
    <t>Hiệu ứng hover</t>
  </si>
  <si>
    <t>Hover vào nút “Kiểm tra” đổi màu nhẹ (tối hoặc sáng hơn)</t>
  </si>
  <si>
    <t>CL_DH_10</t>
  </si>
  <si>
    <t>Căn chỉnh khoảng cách</t>
  </si>
  <si>
    <t>Khoảng cách giữa các thành phần (radio, input, button) đều nhau, dễ nhìn</t>
  </si>
  <si>
    <t>CL_DH_11</t>
  </si>
  <si>
    <t>Biểu tượng Facebook nổi</t>
  </si>
  <si>
    <t>Hiển thị đúng vị trí góc phải, không che nội dung</t>
  </si>
  <si>
    <t>CL_DH_12</t>
  </si>
  <si>
    <t>Khi thu nhỏ trình duyệt, form hiển thị gọn, không tràn viền, không bị lệch căn giữa</t>
  </si>
  <si>
    <t>CL_DH_13</t>
  </si>
  <si>
    <t>CL_DH_14</t>
  </si>
  <si>
    <t>CL_DH_15</t>
  </si>
  <si>
    <t>CL_DH_16</t>
  </si>
  <si>
    <t>CL_DH_17</t>
  </si>
  <si>
    <t>CL_DH_18</t>
  </si>
  <si>
    <t>CL_DH_19</t>
  </si>
  <si>
    <t>CL_KM_1</t>
  </si>
  <si>
    <t>Hiển thị tiêu đề “Khuyến mãi” đúng chính tả và rõ ràng</t>
  </si>
  <si>
    <t>CL_KM_2</t>
  </si>
  <si>
    <t>Thanh menu khuyến mãi</t>
  </si>
  <si>
    <t>Hiển thị danh sách mục con: Kún Miu Member Vip, Các mã giảm giá, Combo sản phẩm chó mèo, Mua nhiều giá tốt, Các sản phẩm giảm giá, Kún Miu Care</t>
  </si>
  <si>
    <t>CL_KM_3</t>
  </si>
  <si>
    <t>Mục "Các mã giảm giá"</t>
  </si>
  <si>
    <t>Có bảng hiển thị cột: “Sản phẩm nhóm hàng khuyến mãi”, “Mã giảm giá”, “Hạn sử dụng”</t>
  </si>
  <si>
    <t>CL_KM_4</t>
  </si>
  <si>
    <t>Liên kết trong bảng mã giảm giá</t>
  </si>
  <si>
    <t>Các link dẫn đến trang danh mục tương ứng hoạt động đúng</t>
  </si>
  <si>
    <t>CL_KM_5</t>
  </si>
  <si>
    <t>Mục "Các sản phẩm giảm giá"</t>
  </si>
  <si>
    <t>Hiển thị sản phẩm có nhãn SALE và phần trăm giảm giá rõ ràng</t>
  </si>
  <si>
    <t>CL_KM_6</t>
  </si>
  <si>
    <t>Mục “Mua nhiều giá tốt”</t>
  </si>
  <si>
    <t>Sản phẩm hiển thị rõ tên, hình, giá, và nút “Chi tiết”, “Thêm vào so sánh”</t>
  </si>
  <si>
    <t>CL_KM_7</t>
  </si>
  <si>
    <t>Mục “Combo sản phẩm chó mèo”</t>
  </si>
  <si>
    <t>Hiển thị ít nhất 1 combo hợp lệ, có ảnh, tên, và giá khuyến mãi</t>
  </si>
  <si>
    <t>CL_KM_8</t>
  </si>
  <si>
    <t>Chức năng sắp xếp</t>
  </si>
  <si>
    <t>Có dropdown “Sắp xếp theo” (Hàng mới nhất, Giá tăng/giảm dần) hoạt động bình thường</t>
  </si>
  <si>
    <t>CL_KM_9</t>
  </si>
  <si>
    <t>Mục “Kún Miu Care”</t>
  </si>
  <si>
    <t>Có form nhập SĐT, Email, chọn loại phản ánh, nhập nội dung và upload file</t>
  </si>
  <si>
    <t>CL_KM_10</t>
  </si>
  <si>
    <t>Form Kún Miu Care – validation</t>
  </si>
  <si>
    <t>Các trường bắt buộc (*) phải hiển thị rõ, hiển thị thông báo khi bỏ trống</t>
  </si>
  <si>
    <t>CL_KM_11</t>
  </si>
  <si>
    <t>Nút gửi phản hồi</t>
  </si>
  <si>
    <t>Có hiển thị nút gửi/submit và hoạt động được</t>
  </si>
  <si>
    <t>CL_KM_12</t>
  </si>
  <si>
    <t>Bố cục tổng thể</t>
  </si>
  <si>
    <t>Giao diện các phần cân đối, không bị tràn chữ, hình không vỡ</t>
  </si>
  <si>
    <t>CL_KM_13</t>
  </si>
  <si>
    <t>Font &amp; màu sắc</t>
  </si>
  <si>
    <t>Font chữ đồng nhất, dễ đọc, màu sắc thương hiệu đúng tone</t>
  </si>
  <si>
    <t>CL_KM_14</t>
  </si>
  <si>
    <t>Trang hiển thị tốt trên màn hình desktop và di động</t>
  </si>
  <si>
    <t>CL_KM_15</t>
  </si>
  <si>
    <t>Liên kết mạng xã hội</t>
  </si>
  <si>
    <t>Nút Facebook hiển thị và hoạt động đúng</t>
  </si>
  <si>
    <t>CL_KM_16</t>
  </si>
  <si>
    <t>Nút quay lại đầu trang</t>
  </si>
  <si>
    <t>Nút mũi tên (↑) xuất hiện khi cuộn và hoạt động đúng</t>
  </si>
  <si>
    <t>CL_KM_17</t>
  </si>
  <si>
    <t>Icon điện thoại hỗ trợ</t>
  </si>
  <si>
    <t>Hiển thị cố định góc trái dưới, click mở đúng liên kết hỗ trợ</t>
  </si>
  <si>
    <t>TEST REPORT</t>
  </si>
  <si>
    <t>Project Name</t>
  </si>
  <si>
    <t>Kiểm thử website Đồ chơi chợ lớn</t>
  </si>
  <si>
    <t>Creator</t>
  </si>
  <si>
    <t>Nguyễn Thị Bích Ngọc</t>
  </si>
  <si>
    <t>Project Code</t>
  </si>
  <si>
    <t>Reviewer/Approver</t>
  </si>
  <si>
    <t>Document Code</t>
  </si>
  <si>
    <t>Issue Date</t>
  </si>
  <si>
    <t>Notes</t>
  </si>
  <si>
    <t>No</t>
  </si>
  <si>
    <t>Test Items</t>
  </si>
  <si>
    <t>Pass</t>
  </si>
  <si>
    <t>Fail</t>
  </si>
  <si>
    <t>NT</t>
  </si>
  <si>
    <t>N/A</t>
  </si>
  <si>
    <t>Number of  test cases</t>
  </si>
  <si>
    <t>Đăng nhập</t>
  </si>
  <si>
    <t>Đăng ký</t>
  </si>
  <si>
    <t>Quên mật khẩu</t>
  </si>
  <si>
    <t>Tìm kiếm</t>
  </si>
  <si>
    <t>Xem chi tiết sản phẩm</t>
  </si>
  <si>
    <t>Xem tin tức, bình luận</t>
  </si>
  <si>
    <t>Danh mục</t>
  </si>
  <si>
    <t>Giỏ hàng</t>
  </si>
  <si>
    <t>Đặt hàng</t>
  </si>
  <si>
    <t>Sub total</t>
  </si>
  <si>
    <t>Test coverage</t>
  </si>
  <si>
    <t>Test successful coverage</t>
  </si>
  <si>
    <t>%</t>
  </si>
  <si>
    <t>TEST CASE</t>
  </si>
  <si>
    <t>Version</t>
  </si>
  <si>
    <t>Record of change</t>
  </si>
  <si>
    <t>Change Date</t>
  </si>
  <si>
    <t>Change Item</t>
  </si>
  <si>
    <t>Change description</t>
  </si>
  <si>
    <t>ID Name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</si>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</sst>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[$-409]d\-mmm\-yyyy"/>
    <numFmt numFmtId="180" formatCode="#,##0.0"/>
  </numFmts>
  <fonts count="39">
    <font>
      <sz val="11"/>
      <color theme="1"/>
      <name val="Calibri"/>
      <charset val="134"/>
      <scheme val="minor"/>
    </font>
    <font>
      <sz val="10"/>
      <color theme="1"/>
      <name val="Tahoma"/>
      <charset val="134"/>
    </font>
    <font>
      <b/>
      <sz val="22"/>
      <color rgb="FFFF0000"/>
      <name val="Tahoma"/>
      <charset val="134"/>
    </font>
    <font>
      <b/>
      <sz val="18"/>
      <color rgb="FFFF0000"/>
      <name val="Tahoma"/>
      <charset val="134"/>
    </font>
    <font>
      <b/>
      <sz val="20"/>
      <color rgb="FF000000"/>
      <name val="Tahoma"/>
      <charset val="134"/>
    </font>
    <font>
      <sz val="11"/>
      <name val="Calibri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b/>
      <sz val="10"/>
      <color rgb="FFFFFFFF"/>
      <name val="Tahoma"/>
      <charset val="134"/>
    </font>
    <font>
      <sz val="10"/>
      <color rgb="FFFF0000"/>
      <name val="Tahoma"/>
      <charset val="134"/>
    </font>
    <font>
      <b/>
      <sz val="10"/>
      <color theme="1"/>
      <name val="Tahoma"/>
      <charset val="134"/>
    </font>
    <font>
      <b/>
      <sz val="10"/>
      <color rgb="FFFF0000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rgb="FFFFFFFF"/>
      <name val="Tahoma"/>
      <charset val="134"/>
    </font>
    <font>
      <b/>
      <sz val="10"/>
      <color rgb="FF0000FF"/>
      <name val="Tahoma"/>
      <charset val="134"/>
    </font>
    <font>
      <sz val="10"/>
      <color rgb="FF000000"/>
      <name val="Tahoma"/>
      <charset val="134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i/>
      <sz val="10"/>
      <color theme="1"/>
      <name val="Tahoma"/>
      <charset val="134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28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theme="1" tint="0.3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2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32" applyNumberFormat="0" applyAlignment="0" applyProtection="0">
      <alignment vertical="center"/>
    </xf>
    <xf numFmtId="0" fontId="28" fillId="8" borderId="33" applyNumberFormat="0" applyAlignment="0" applyProtection="0">
      <alignment vertical="center"/>
    </xf>
    <xf numFmtId="0" fontId="29" fillId="8" borderId="32" applyNumberFormat="0" applyAlignment="0" applyProtection="0">
      <alignment vertical="center"/>
    </xf>
    <xf numFmtId="0" fontId="30" fillId="9" borderId="34" applyNumberFormat="0" applyAlignment="0" applyProtection="0">
      <alignment vertical="center"/>
    </xf>
    <xf numFmtId="0" fontId="31" fillId="0" borderId="35" applyNumberFormat="0" applyFill="0" applyAlignment="0" applyProtection="0">
      <alignment vertical="center"/>
    </xf>
    <xf numFmtId="0" fontId="32" fillId="0" borderId="36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178" fontId="38" fillId="0" borderId="0"/>
  </cellStyleXfs>
  <cellXfs count="9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2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/>
    <xf numFmtId="0" fontId="5" fillId="0" borderId="3" xfId="0" applyFont="1" applyFill="1" applyBorder="1" applyAlignment="1"/>
    <xf numFmtId="0" fontId="6" fillId="2" borderId="0" xfId="0" applyFont="1" applyFill="1" applyBorder="1" applyAlignment="1">
      <alignment horizontal="left"/>
    </xf>
    <xf numFmtId="0" fontId="7" fillId="0" borderId="0" xfId="0" applyFont="1" applyFill="1" applyAlignment="1">
      <alignment horizontal="left"/>
    </xf>
    <xf numFmtId="0" fontId="1" fillId="2" borderId="0" xfId="0" applyFont="1" applyFill="1" applyBorder="1" applyAlignment="1"/>
    <xf numFmtId="0" fontId="6" fillId="2" borderId="4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3" xfId="0" applyFont="1" applyFill="1" applyBorder="1" applyAlignment="1"/>
    <xf numFmtId="0" fontId="6" fillId="2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179" fontId="1" fillId="0" borderId="4" xfId="0" applyNumberFormat="1" applyFont="1" applyFill="1" applyBorder="1" applyAlignment="1">
      <alignment horizontal="left" vertical="center"/>
    </xf>
    <xf numFmtId="0" fontId="5" fillId="0" borderId="9" xfId="0" applyFont="1" applyFill="1" applyBorder="1" applyAlignment="1"/>
    <xf numFmtId="0" fontId="5" fillId="0" borderId="10" xfId="0" applyFont="1" applyFill="1" applyBorder="1" applyAlignment="1"/>
    <xf numFmtId="0" fontId="5" fillId="0" borderId="11" xfId="0" applyFont="1" applyFill="1" applyBorder="1" applyAlignment="1"/>
    <xf numFmtId="0" fontId="5" fillId="0" borderId="12" xfId="0" applyFont="1" applyFill="1" applyBorder="1" applyAlignment="1"/>
    <xf numFmtId="180" fontId="1" fillId="0" borderId="3" xfId="0" applyNumberFormat="1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0" fontId="1" fillId="0" borderId="0" xfId="0" applyFont="1" applyFill="1" applyAlignment="1">
      <alignment vertical="center"/>
    </xf>
    <xf numFmtId="15" fontId="8" fillId="3" borderId="13" xfId="0" applyNumberFormat="1" applyFont="1" applyFill="1" applyBorder="1" applyAlignment="1">
      <alignment horizontal="left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179" fontId="9" fillId="0" borderId="4" xfId="0" applyNumberFormat="1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top"/>
    </xf>
    <xf numFmtId="15" fontId="1" fillId="0" borderId="4" xfId="0" applyNumberFormat="1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4" xfId="0" applyFont="1" applyFill="1" applyBorder="1" applyAlignment="1"/>
    <xf numFmtId="0" fontId="1" fillId="0" borderId="4" xfId="0" applyFont="1" applyFill="1" applyBorder="1" applyAlignment="1">
      <alignment wrapText="1"/>
    </xf>
    <xf numFmtId="0" fontId="1" fillId="0" borderId="4" xfId="0" applyFont="1" applyFill="1" applyBorder="1" applyAlignment="1">
      <alignment horizontal="center"/>
    </xf>
    <xf numFmtId="179" fontId="1" fillId="2" borderId="0" xfId="0" applyNumberFormat="1" applyFont="1" applyFill="1" applyBorder="1" applyAlignment="1"/>
    <xf numFmtId="179" fontId="4" fillId="2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/>
    <xf numFmtId="179" fontId="10" fillId="2" borderId="0" xfId="0" applyNumberFormat="1" applyFont="1" applyFill="1" applyBorder="1" applyAlignment="1"/>
    <xf numFmtId="15" fontId="1" fillId="2" borderId="0" xfId="0" applyNumberFormat="1" applyFont="1" applyFill="1" applyBorder="1" applyAlignment="1"/>
    <xf numFmtId="179" fontId="6" fillId="2" borderId="4" xfId="0" applyNumberFormat="1" applyFont="1" applyFill="1" applyBorder="1" applyAlignment="1">
      <alignment horizontal="left" vertical="center"/>
    </xf>
    <xf numFmtId="179" fontId="1" fillId="2" borderId="1" xfId="0" applyNumberFormat="1" applyFont="1" applyFill="1" applyBorder="1" applyAlignment="1">
      <alignment horizontal="left"/>
    </xf>
    <xf numFmtId="179" fontId="6" fillId="2" borderId="1" xfId="0" applyNumberFormat="1" applyFont="1" applyFill="1" applyBorder="1" applyAlignment="1">
      <alignment horizontal="left"/>
    </xf>
    <xf numFmtId="179" fontId="11" fillId="2" borderId="1" xfId="0" applyNumberFormat="1" applyFont="1" applyFill="1" applyBorder="1" applyAlignment="1">
      <alignment horizontal="left" vertical="center"/>
    </xf>
    <xf numFmtId="179" fontId="6" fillId="2" borderId="4" xfId="0" applyNumberFormat="1" applyFont="1" applyFill="1" applyBorder="1" applyAlignment="1">
      <alignment vertical="center"/>
    </xf>
    <xf numFmtId="179" fontId="6" fillId="2" borderId="1" xfId="0" applyNumberFormat="1" applyFont="1" applyFill="1" applyBorder="1" applyAlignment="1">
      <alignment horizontal="left" vertical="center"/>
    </xf>
    <xf numFmtId="179" fontId="7" fillId="2" borderId="1" xfId="0" applyNumberFormat="1" applyFont="1" applyFill="1" applyBorder="1" applyAlignment="1">
      <alignment vertical="top"/>
    </xf>
    <xf numFmtId="179" fontId="6" fillId="2" borderId="0" xfId="0" applyNumberFormat="1" applyFont="1" applyFill="1" applyBorder="1" applyAlignment="1"/>
    <xf numFmtId="179" fontId="7" fillId="2" borderId="0" xfId="0" applyNumberFormat="1" applyFont="1" applyFill="1" applyBorder="1" applyAlignment="1"/>
    <xf numFmtId="179" fontId="1" fillId="2" borderId="16" xfId="0" applyNumberFormat="1" applyFont="1" applyFill="1" applyBorder="1" applyAlignment="1"/>
    <xf numFmtId="179" fontId="8" fillId="3" borderId="17" xfId="0" applyNumberFormat="1" applyFont="1" applyFill="1" applyBorder="1" applyAlignment="1">
      <alignment horizontal="center"/>
    </xf>
    <xf numFmtId="179" fontId="8" fillId="3" borderId="18" xfId="0" applyNumberFormat="1" applyFont="1" applyFill="1" applyBorder="1" applyAlignment="1">
      <alignment horizontal="center"/>
    </xf>
    <xf numFmtId="1" fontId="1" fillId="0" borderId="19" xfId="0" applyNumberFormat="1" applyFont="1" applyFill="1" applyBorder="1" applyAlignment="1">
      <alignment horizontal="center"/>
    </xf>
    <xf numFmtId="179" fontId="12" fillId="0" borderId="20" xfId="6" applyNumberFormat="1" applyBorder="1" applyAlignment="1"/>
    <xf numFmtId="179" fontId="12" fillId="0" borderId="20" xfId="6" applyNumberFormat="1" applyFill="1" applyBorder="1" applyAlignment="1"/>
    <xf numFmtId="179" fontId="13" fillId="0" borderId="20" xfId="6" applyNumberFormat="1" applyFont="1" applyFill="1" applyBorder="1" applyAlignment="1"/>
    <xf numFmtId="179" fontId="14" fillId="3" borderId="21" xfId="0" applyNumberFormat="1" applyFont="1" applyFill="1" applyBorder="1" applyAlignment="1">
      <alignment horizontal="center"/>
    </xf>
    <xf numFmtId="179" fontId="8" fillId="3" borderId="22" xfId="0" applyNumberFormat="1" applyFont="1" applyFill="1" applyBorder="1" applyAlignment="1"/>
    <xf numFmtId="1" fontId="1" fillId="4" borderId="19" xfId="0" applyNumberFormat="1" applyFont="1" applyFill="1" applyBorder="1" applyAlignment="1">
      <alignment horizontal="center"/>
    </xf>
    <xf numFmtId="179" fontId="6" fillId="2" borderId="0" xfId="0" applyNumberFormat="1" applyFont="1" applyFill="1" applyBorder="1" applyAlignment="1">
      <alignment horizontal="left"/>
    </xf>
    <xf numFmtId="179" fontId="8" fillId="3" borderId="18" xfId="0" applyNumberFormat="1" applyFont="1" applyFill="1" applyBorder="1" applyAlignment="1">
      <alignment horizontal="center" wrapText="1"/>
    </xf>
    <xf numFmtId="179" fontId="8" fillId="3" borderId="23" xfId="0" applyNumberFormat="1" applyFont="1" applyFill="1" applyBorder="1" applyAlignment="1">
      <alignment horizontal="center"/>
    </xf>
    <xf numFmtId="179" fontId="8" fillId="3" borderId="24" xfId="0" applyNumberFormat="1" applyFont="1" applyFill="1" applyBorder="1" applyAlignment="1">
      <alignment horizontal="center" wrapText="1"/>
    </xf>
    <xf numFmtId="1" fontId="1" fillId="0" borderId="20" xfId="0" applyNumberFormat="1" applyFont="1" applyFill="1" applyBorder="1" applyAlignment="1">
      <alignment horizontal="center" vertical="center"/>
    </xf>
    <xf numFmtId="1" fontId="14" fillId="3" borderId="22" xfId="0" applyNumberFormat="1" applyFont="1" applyFill="1" applyBorder="1" applyAlignment="1">
      <alignment horizontal="center"/>
    </xf>
    <xf numFmtId="1" fontId="14" fillId="3" borderId="25" xfId="0" applyNumberFormat="1" applyFont="1" applyFill="1" applyBorder="1" applyAlignment="1">
      <alignment horizontal="center"/>
    </xf>
    <xf numFmtId="179" fontId="1" fillId="2" borderId="0" xfId="0" applyNumberFormat="1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9" fontId="1" fillId="2" borderId="0" xfId="0" applyNumberFormat="1" applyFont="1" applyFill="1" applyBorder="1" applyAlignment="1">
      <alignment horizontal="center"/>
    </xf>
    <xf numFmtId="2" fontId="15" fillId="2" borderId="0" xfId="0" applyNumberFormat="1" applyFont="1" applyFill="1" applyBorder="1" applyAlignment="1">
      <alignment horizontal="right" wrapText="1"/>
    </xf>
    <xf numFmtId="179" fontId="16" fillId="2" borderId="0" xfId="0" applyNumberFormat="1" applyFont="1" applyFill="1" applyBorder="1" applyAlignment="1">
      <alignment horizontal="center" wrapText="1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17" fillId="0" borderId="26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179" fontId="10" fillId="0" borderId="0" xfId="0" applyNumberFormat="1" applyFont="1" applyFill="1" applyBorder="1" applyAlignment="1">
      <alignment vertical="center" wrapText="1"/>
    </xf>
    <xf numFmtId="179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19" fillId="0" borderId="0" xfId="0" applyFont="1" applyFill="1" applyBorder="1" applyAlignment="1">
      <alignment vertical="top" wrapText="1"/>
    </xf>
    <xf numFmtId="179" fontId="9" fillId="0" borderId="0" xfId="0" applyNumberFormat="1" applyFont="1" applyFill="1" applyBorder="1" applyAlignment="1">
      <alignment horizontal="center" vertical="center" wrapText="1"/>
    </xf>
    <xf numFmtId="179" fontId="10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20" fillId="5" borderId="0" xfId="0" applyFont="1" applyFill="1" applyBorder="1" applyAlignment="1">
      <alignment horizontal="center" vertical="center"/>
    </xf>
    <xf numFmtId="179" fontId="1" fillId="0" borderId="0" xfId="0" applyNumberFormat="1" applyFont="1" applyFill="1" applyBorder="1" applyAlignment="1">
      <alignment horizontal="center" vertical="center"/>
    </xf>
    <xf numFmtId="179" fontId="9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8" fillId="0" borderId="26" xfId="0" applyFont="1" applyBorder="1" applyAlignment="1">
      <alignment vertical="center" wrapText="1"/>
    </xf>
    <xf numFmtId="0" fontId="18" fillId="0" borderId="26" xfId="0" applyFont="1" applyBorder="1">
      <alignment vertical="center"/>
    </xf>
    <xf numFmtId="0" fontId="17" fillId="0" borderId="27" xfId="0" applyFont="1" applyBorder="1" applyAlignment="1">
      <alignment horizontal="center" vertical="center" wrapText="1"/>
    </xf>
    <xf numFmtId="0" fontId="17" fillId="0" borderId="26" xfId="0" applyFont="1" applyBorder="1">
      <alignment vertical="center"/>
    </xf>
    <xf numFmtId="0" fontId="18" fillId="0" borderId="27" xfId="0" applyFont="1" applyBorder="1" applyAlignment="1">
      <alignment vertical="center" wrapText="1"/>
    </xf>
    <xf numFmtId="179" fontId="18" fillId="0" borderId="26" xfId="0" applyNumberFormat="1" applyFont="1" applyFill="1" applyBorder="1" applyAlignment="1">
      <alignment vertical="center" wrapText="1"/>
    </xf>
    <xf numFmtId="179" fontId="18" fillId="0" borderId="26" xfId="0" applyNumberFormat="1" applyFont="1" applyFill="1" applyBorder="1" applyAlignment="1">
      <alignment horizontal="center" vertical="center" wrapText="1"/>
    </xf>
    <xf numFmtId="0" fontId="18" fillId="0" borderId="26" xfId="0" applyFont="1" applyBorder="1" applyAlignment="1">
      <alignment horizontal="left" vertical="top" wrapText="1"/>
    </xf>
    <xf numFmtId="0" fontId="18" fillId="0" borderId="26" xfId="0" applyFont="1" applyFill="1" applyBorder="1" applyAlignment="1">
      <alignment vertical="top" wrapText="1"/>
    </xf>
    <xf numFmtId="0" fontId="18" fillId="0" borderId="28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" xfId="49"/>
  </cellStyles>
  <dxfs count="21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guyenhien1988\Documents\Zalo%20Received%20Files\Testcase_doan2xlsx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Testcase_DA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estReport"/>
      <sheetName val="Test cases"/>
      <sheetName val="Permisison Matrix"/>
    </sheetNames>
    <sheetDataSet>
      <sheetData sheetId="0"/>
      <sheetData sheetId="1"/>
      <sheetData sheetId="2">
        <row r="5">
          <cell r="B5">
            <v>22</v>
          </cell>
        </row>
        <row r="6">
          <cell r="C6" t="str">
            <v>%</v>
          </cell>
          <cell r="D6" t="str">
            <v>%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est cas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"/>
  <sheetViews>
    <sheetView zoomScale="70" zoomScaleNormal="70" topLeftCell="A5" workbookViewId="0">
      <selection activeCell="E11" sqref="E11"/>
    </sheetView>
  </sheetViews>
  <sheetFormatPr defaultColWidth="9.14285714285714" defaultRowHeight="15"/>
  <cols>
    <col min="1" max="1" width="25.0952380952381" customWidth="1"/>
    <col min="2" max="2" width="22.8571428571429" customWidth="1"/>
    <col min="3" max="3" width="57.1428571428571" customWidth="1"/>
    <col min="4" max="4" width="26.2857142857143" customWidth="1"/>
    <col min="5" max="5" width="24.1428571428571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3">
      <c r="A1" s="74" t="s">
        <v>0</v>
      </c>
      <c r="B1" s="74" t="s">
        <v>1</v>
      </c>
      <c r="C1" s="74" t="s">
        <v>2</v>
      </c>
    </row>
    <row r="2" ht="45" customHeight="1" spans="1:3">
      <c r="A2" s="87" t="s">
        <v>3</v>
      </c>
      <c r="B2" s="87" t="s">
        <v>4</v>
      </c>
      <c r="C2" s="87" t="s">
        <v>5</v>
      </c>
    </row>
    <row r="3" ht="40" customHeight="1" spans="1:3">
      <c r="A3" s="87" t="s">
        <v>6</v>
      </c>
      <c r="B3" s="87" t="s">
        <v>7</v>
      </c>
      <c r="C3" s="87" t="s">
        <v>8</v>
      </c>
    </row>
    <row r="4" ht="51" customHeight="1" spans="1:3">
      <c r="A4" s="87" t="s">
        <v>9</v>
      </c>
      <c r="B4" s="87" t="s">
        <v>10</v>
      </c>
      <c r="C4" s="87" t="s">
        <v>11</v>
      </c>
    </row>
    <row r="5" ht="52" customHeight="1" spans="1:3">
      <c r="A5" s="87" t="s">
        <v>12</v>
      </c>
      <c r="B5" s="87" t="s">
        <v>13</v>
      </c>
      <c r="C5" s="87" t="s">
        <v>14</v>
      </c>
    </row>
    <row r="6" ht="31" customHeight="1" spans="1:3">
      <c r="A6" s="87" t="s">
        <v>15</v>
      </c>
      <c r="B6" s="87" t="s">
        <v>16</v>
      </c>
      <c r="C6" s="87" t="s">
        <v>17</v>
      </c>
    </row>
    <row r="7" ht="50" customHeight="1" spans="1:3">
      <c r="A7" s="87" t="s">
        <v>18</v>
      </c>
      <c r="B7" s="87" t="s">
        <v>19</v>
      </c>
      <c r="C7" s="87" t="s">
        <v>20</v>
      </c>
    </row>
    <row r="8" ht="51" customHeight="1" spans="1:3">
      <c r="A8" s="87" t="s">
        <v>21</v>
      </c>
      <c r="B8" s="87" t="s">
        <v>22</v>
      </c>
      <c r="C8" s="87" t="s">
        <v>23</v>
      </c>
    </row>
    <row r="9" ht="65" customHeight="1" spans="1:3">
      <c r="A9" s="87" t="s">
        <v>24</v>
      </c>
      <c r="B9" s="87" t="s">
        <v>25</v>
      </c>
      <c r="C9" s="87" t="s">
        <v>26</v>
      </c>
    </row>
    <row r="10" ht="51" customHeight="1" spans="1:3">
      <c r="A10" s="87" t="s">
        <v>27</v>
      </c>
      <c r="B10" s="87" t="s">
        <v>28</v>
      </c>
      <c r="C10" s="87" t="s">
        <v>29</v>
      </c>
    </row>
    <row r="11" ht="49" customHeight="1" spans="1:3">
      <c r="A11" s="87" t="s">
        <v>30</v>
      </c>
      <c r="B11" s="87" t="s">
        <v>31</v>
      </c>
      <c r="C11" s="87" t="s">
        <v>32</v>
      </c>
    </row>
    <row r="12" ht="51" customHeight="1" spans="1:3">
      <c r="A12" s="87" t="s">
        <v>33</v>
      </c>
      <c r="B12" s="87" t="s">
        <v>34</v>
      </c>
      <c r="C12" s="87" t="s">
        <v>35</v>
      </c>
    </row>
    <row r="13" ht="54" customHeight="1" spans="1:3">
      <c r="A13" s="87" t="s">
        <v>36</v>
      </c>
      <c r="B13" s="87" t="s">
        <v>34</v>
      </c>
      <c r="C13" s="87" t="s">
        <v>37</v>
      </c>
    </row>
    <row r="14" ht="76.5" customHeight="1" spans="1:3">
      <c r="A14" s="87" t="s">
        <v>38</v>
      </c>
      <c r="B14" s="87" t="s">
        <v>34</v>
      </c>
      <c r="C14" s="87" t="s">
        <v>39</v>
      </c>
    </row>
    <row r="15" ht="73" customHeight="1" spans="1:3">
      <c r="A15" s="87" t="s">
        <v>40</v>
      </c>
      <c r="B15" s="87" t="s">
        <v>31</v>
      </c>
      <c r="C15" s="87" t="s">
        <v>41</v>
      </c>
    </row>
    <row r="16" s="72" customFormat="1" ht="53" customHeight="1" spans="1:8">
      <c r="A16" s="87" t="s">
        <v>42</v>
      </c>
      <c r="B16" s="87" t="s">
        <v>31</v>
      </c>
      <c r="C16" s="87" t="s">
        <v>43</v>
      </c>
      <c r="D16" s="76"/>
      <c r="E16" s="76"/>
      <c r="F16" s="76"/>
      <c r="G16" s="76"/>
      <c r="H16" s="76"/>
    </row>
    <row r="17" ht="51" customHeight="1"/>
    <row r="18" s="73" customFormat="1"/>
    <row r="19" s="73" customFormat="1" ht="89.25" customHeight="1"/>
    <row r="20" s="73" customFormat="1"/>
    <row r="21" s="73" customFormat="1" ht="76.5" customHeight="1" spans="1:8">
      <c r="A21" s="77"/>
      <c r="B21" s="78"/>
      <c r="C21" s="78"/>
      <c r="D21" s="79"/>
      <c r="E21" s="78"/>
      <c r="F21" s="77"/>
      <c r="G21" s="80"/>
      <c r="H21" s="77"/>
    </row>
    <row r="22" s="73" customFormat="1" spans="1:8">
      <c r="A22" s="77"/>
      <c r="B22" s="78"/>
      <c r="C22" s="78"/>
      <c r="D22" s="79"/>
      <c r="E22" s="78"/>
      <c r="F22" s="77"/>
      <c r="G22" s="80"/>
      <c r="H22" s="77"/>
    </row>
    <row r="23" s="73" customFormat="1" spans="1:8">
      <c r="A23" s="77"/>
      <c r="B23" s="78"/>
      <c r="C23" s="78"/>
      <c r="D23" s="79"/>
      <c r="E23" s="78"/>
      <c r="F23" s="77"/>
      <c r="G23" s="80"/>
      <c r="H23" s="77"/>
    </row>
    <row r="24" s="73" customFormat="1" ht="89.25" customHeight="1" spans="1:8">
      <c r="A24" s="77"/>
      <c r="B24" s="78"/>
      <c r="C24" s="78"/>
      <c r="D24" s="79"/>
      <c r="E24" s="78"/>
      <c r="F24" s="77"/>
      <c r="G24" s="80"/>
      <c r="H24" s="77"/>
    </row>
    <row r="25" s="73" customFormat="1" spans="1:8">
      <c r="A25" s="77"/>
      <c r="B25" s="78"/>
      <c r="C25" s="78"/>
      <c r="D25" s="79"/>
      <c r="E25" s="78"/>
      <c r="F25" s="77"/>
      <c r="G25" s="80"/>
      <c r="H25" s="77"/>
    </row>
    <row r="26" s="73" customFormat="1" ht="76.5" customHeight="1" spans="1:8">
      <c r="A26" s="77"/>
      <c r="B26" s="78"/>
      <c r="C26" s="78"/>
      <c r="D26" s="79"/>
      <c r="E26" s="78"/>
      <c r="F26" s="77"/>
      <c r="G26" s="80"/>
      <c r="H26" s="77"/>
    </row>
    <row r="27" s="73" customFormat="1" spans="1:8">
      <c r="A27" s="77"/>
      <c r="B27" s="78"/>
      <c r="C27" s="78"/>
      <c r="D27" s="79"/>
      <c r="E27" s="78"/>
      <c r="F27" s="77"/>
      <c r="G27" s="80"/>
      <c r="H27" s="77"/>
    </row>
    <row r="28" s="73" customFormat="1" customHeight="1" spans="1:9">
      <c r="A28" s="77"/>
      <c r="B28" s="77"/>
      <c r="C28" s="77"/>
      <c r="D28" s="77"/>
      <c r="E28" s="77"/>
      <c r="F28" s="77"/>
      <c r="G28" s="77"/>
      <c r="H28" s="77"/>
      <c r="I28" s="77"/>
    </row>
    <row r="29" s="73" customFormat="1" spans="1:8">
      <c r="A29" s="77"/>
      <c r="B29" s="78"/>
      <c r="C29" s="78"/>
      <c r="D29" s="79"/>
      <c r="E29" s="78"/>
      <c r="F29" s="77"/>
      <c r="G29" s="80"/>
      <c r="H29" s="77"/>
    </row>
    <row r="30" s="73" customFormat="1" ht="51" customHeight="1" spans="1:8">
      <c r="A30" s="77"/>
      <c r="B30" s="78"/>
      <c r="C30" s="78"/>
      <c r="D30" s="79"/>
      <c r="E30" s="78"/>
      <c r="F30" s="77"/>
      <c r="G30" s="80"/>
      <c r="H30" s="77"/>
    </row>
    <row r="31" s="73" customFormat="1" spans="1:8">
      <c r="A31" s="77"/>
      <c r="B31" s="78"/>
      <c r="C31" s="78"/>
      <c r="D31" s="79"/>
      <c r="E31" s="78"/>
      <c r="F31" s="77"/>
      <c r="G31" s="80"/>
      <c r="H31" s="77"/>
    </row>
    <row r="32" s="73" customFormat="1" customHeight="1" spans="1:9">
      <c r="A32" s="81"/>
      <c r="B32" s="81"/>
      <c r="C32" s="81"/>
      <c r="D32" s="81"/>
      <c r="E32" s="81"/>
      <c r="F32" s="81"/>
      <c r="G32" s="81"/>
      <c r="H32" s="81"/>
      <c r="I32" s="81"/>
    </row>
    <row r="33" s="73" customFormat="1" spans="1:9">
      <c r="A33" s="77"/>
      <c r="B33" s="78"/>
      <c r="C33" s="78"/>
      <c r="D33" s="79"/>
      <c r="E33" s="78"/>
      <c r="F33" s="77"/>
      <c r="G33" s="80"/>
      <c r="H33" s="77"/>
      <c r="I33" s="81"/>
    </row>
    <row r="34" s="73" customFormat="1" ht="76.5" customHeight="1" spans="1:8">
      <c r="A34" s="77"/>
      <c r="B34" s="78"/>
      <c r="C34" s="78"/>
      <c r="D34" s="79"/>
      <c r="E34" s="78"/>
      <c r="F34" s="77"/>
      <c r="G34" s="80"/>
      <c r="H34" s="77"/>
    </row>
    <row r="35" s="73" customFormat="1" spans="1:8">
      <c r="A35" s="77"/>
      <c r="B35" s="78"/>
      <c r="C35" s="78"/>
      <c r="D35" s="79"/>
      <c r="E35" s="82"/>
      <c r="F35" s="77"/>
      <c r="G35" s="80"/>
      <c r="H35" s="77"/>
    </row>
    <row r="36" s="73" customFormat="1" spans="1:8">
      <c r="A36" s="77"/>
      <c r="B36" s="82"/>
      <c r="C36" s="78"/>
      <c r="D36" s="79"/>
      <c r="E36" s="78"/>
      <c r="F36" s="77"/>
      <c r="G36" s="80"/>
      <c r="H36" s="77"/>
    </row>
    <row r="37" s="73" customFormat="1" spans="1:8">
      <c r="A37" s="77"/>
      <c r="B37" s="82"/>
      <c r="C37" s="78"/>
      <c r="D37" s="79"/>
      <c r="E37" s="82"/>
      <c r="F37" s="77"/>
      <c r="G37" s="80"/>
      <c r="H37" s="77"/>
    </row>
    <row r="38" s="73" customFormat="1" spans="1:8">
      <c r="A38" s="77"/>
      <c r="B38" s="82"/>
      <c r="C38" s="78"/>
      <c r="D38" s="79"/>
      <c r="E38" s="82"/>
      <c r="F38" s="77"/>
      <c r="G38" s="80"/>
      <c r="H38" s="77"/>
    </row>
    <row r="39" s="73" customFormat="1" spans="1:8">
      <c r="A39" s="77"/>
      <c r="B39" s="82"/>
      <c r="C39" s="78"/>
      <c r="D39" s="79"/>
      <c r="E39" s="82"/>
      <c r="F39" s="77"/>
      <c r="G39" s="80"/>
      <c r="H39" s="77"/>
    </row>
    <row r="40" s="73" customFormat="1" ht="51" customHeight="1" spans="1:8">
      <c r="A40" s="77"/>
      <c r="B40" s="82"/>
      <c r="C40" s="78"/>
      <c r="D40" s="79"/>
      <c r="E40" s="82"/>
      <c r="F40" s="77"/>
      <c r="G40" s="80"/>
      <c r="H40" s="77"/>
    </row>
    <row r="41" s="73" customFormat="1" spans="1:8">
      <c r="A41" s="77"/>
      <c r="B41" s="82"/>
      <c r="C41" s="78"/>
      <c r="D41" s="79"/>
      <c r="E41" s="82"/>
      <c r="F41" s="77"/>
      <c r="G41" s="80"/>
      <c r="H41" s="77"/>
    </row>
    <row r="42" s="73" customFormat="1" spans="1:8">
      <c r="A42" s="77"/>
      <c r="B42" s="82"/>
      <c r="C42" s="78"/>
      <c r="D42" s="79"/>
      <c r="E42" s="82"/>
      <c r="F42" s="77"/>
      <c r="G42" s="80"/>
      <c r="H42" s="77"/>
    </row>
    <row r="43" s="73" customFormat="1" spans="1:8">
      <c r="A43" s="77"/>
      <c r="B43" s="82"/>
      <c r="C43" s="78"/>
      <c r="D43" s="79"/>
      <c r="E43" s="82"/>
      <c r="F43" s="77"/>
      <c r="G43" s="80"/>
      <c r="H43" s="77"/>
    </row>
    <row r="44" s="73" customFormat="1" spans="1:8">
      <c r="A44" s="77"/>
      <c r="B44" s="82"/>
      <c r="C44" s="78"/>
      <c r="D44" s="79"/>
      <c r="E44" s="82"/>
      <c r="F44" s="77"/>
      <c r="G44" s="80"/>
      <c r="H44" s="77"/>
    </row>
    <row r="45" s="73" customFormat="1" spans="1:8">
      <c r="A45" s="77"/>
      <c r="B45" s="82"/>
      <c r="C45" s="82"/>
      <c r="D45" s="79"/>
      <c r="E45" s="82"/>
      <c r="F45" s="77"/>
      <c r="G45" s="80"/>
      <c r="H45" s="77"/>
    </row>
    <row r="46" s="73" customFormat="1" spans="1:8">
      <c r="A46" s="77"/>
      <c r="C46" s="82"/>
      <c r="D46" s="79"/>
      <c r="E46" s="82"/>
      <c r="F46" s="77"/>
      <c r="G46" s="80"/>
      <c r="H46" s="77"/>
    </row>
    <row r="47" s="73" customFormat="1" spans="1:8">
      <c r="A47" s="77"/>
      <c r="B47" s="82"/>
      <c r="C47" s="82"/>
      <c r="D47" s="79"/>
      <c r="E47" s="82"/>
      <c r="F47" s="77"/>
      <c r="G47" s="80"/>
      <c r="H47" s="77"/>
    </row>
    <row r="48" s="73" customFormat="1" spans="1:9">
      <c r="A48" s="83"/>
      <c r="B48" s="83"/>
      <c r="C48" s="83"/>
      <c r="D48" s="83"/>
      <c r="E48" s="83"/>
      <c r="F48" s="83"/>
      <c r="G48" s="83"/>
      <c r="H48" s="83"/>
      <c r="I48" s="83"/>
    </row>
    <row r="49" s="73" customFormat="1" spans="1:9">
      <c r="A49" s="84"/>
      <c r="B49" s="82"/>
      <c r="C49" s="82"/>
      <c r="D49" s="79"/>
      <c r="E49" s="82"/>
      <c r="F49" s="84"/>
      <c r="G49" s="85"/>
      <c r="H49" s="77"/>
      <c r="I49" s="72"/>
    </row>
    <row r="50" s="73" customFormat="1" ht="99" customHeight="1" spans="1:9">
      <c r="A50" s="84"/>
      <c r="B50" s="82"/>
      <c r="C50" s="82"/>
      <c r="D50" s="79"/>
      <c r="E50" s="82"/>
      <c r="F50" s="84"/>
      <c r="G50" s="85"/>
      <c r="H50" s="77"/>
      <c r="I50" s="72"/>
    </row>
    <row r="51" s="73" customFormat="1" spans="1:9">
      <c r="A51" s="84"/>
      <c r="B51" s="82"/>
      <c r="C51" s="82"/>
      <c r="D51" s="79"/>
      <c r="E51" s="82"/>
      <c r="F51" s="84"/>
      <c r="G51" s="85"/>
      <c r="H51" s="77"/>
      <c r="I51" s="72"/>
    </row>
    <row r="52" s="73" customFormat="1" spans="1:9">
      <c r="A52" s="84"/>
      <c r="B52" s="82"/>
      <c r="C52" s="82"/>
      <c r="D52" s="79"/>
      <c r="E52" s="82"/>
      <c r="F52" s="84"/>
      <c r="G52" s="85"/>
      <c r="H52" s="77"/>
      <c r="I52" s="72"/>
    </row>
    <row r="53" s="73" customFormat="1" spans="1:9">
      <c r="A53" s="84"/>
      <c r="B53" s="82"/>
      <c r="C53" s="82"/>
      <c r="D53" s="79"/>
      <c r="E53" s="82"/>
      <c r="F53" s="84"/>
      <c r="G53" s="85"/>
      <c r="H53" s="77"/>
      <c r="I53" s="72"/>
    </row>
    <row r="54" s="73" customFormat="1" spans="1:9">
      <c r="A54" s="84"/>
      <c r="B54" s="82"/>
      <c r="C54" s="82"/>
      <c r="D54" s="79"/>
      <c r="E54" s="82"/>
      <c r="F54" s="84"/>
      <c r="G54" s="85"/>
      <c r="H54" s="77"/>
      <c r="I54" s="72"/>
    </row>
    <row r="55" s="73" customFormat="1" spans="1:9">
      <c r="A55" s="84"/>
      <c r="B55" s="82"/>
      <c r="C55" s="82"/>
      <c r="D55" s="79"/>
      <c r="E55" s="82"/>
      <c r="F55" s="84"/>
      <c r="G55" s="85"/>
      <c r="H55" s="77"/>
      <c r="I55" s="72"/>
    </row>
    <row r="56" s="73" customFormat="1" spans="1:9">
      <c r="A56" s="84"/>
      <c r="B56" s="82"/>
      <c r="C56" s="82"/>
      <c r="D56" s="79"/>
      <c r="E56" s="82"/>
      <c r="F56" s="84"/>
      <c r="G56" s="85"/>
      <c r="H56" s="77"/>
      <c r="I56" s="72"/>
    </row>
    <row r="57" s="73" customFormat="1" spans="1:9">
      <c r="A57" s="84"/>
      <c r="B57" s="82"/>
      <c r="C57" s="82"/>
      <c r="D57" s="79"/>
      <c r="E57" s="82"/>
      <c r="F57" s="84"/>
      <c r="G57" s="85"/>
      <c r="H57" s="77"/>
      <c r="I57" s="72"/>
    </row>
    <row r="58" s="73" customFormat="1" spans="1:9">
      <c r="A58" s="84"/>
      <c r="B58" s="82"/>
      <c r="C58" s="82"/>
      <c r="D58" s="79"/>
      <c r="E58" s="82"/>
      <c r="F58" s="84"/>
      <c r="G58" s="85"/>
      <c r="H58" s="77"/>
      <c r="I58" s="72"/>
    </row>
    <row r="59" s="73" customFormat="1" spans="1:9">
      <c r="A59" s="84"/>
      <c r="B59" s="82"/>
      <c r="C59" s="82"/>
      <c r="D59" s="79"/>
      <c r="E59" s="82"/>
      <c r="F59" s="84"/>
      <c r="G59" s="85"/>
      <c r="H59" s="77"/>
      <c r="I59" s="72"/>
    </row>
    <row r="60" s="73" customFormat="1" spans="1:9">
      <c r="A60" s="84"/>
      <c r="B60" s="82"/>
      <c r="C60" s="82"/>
      <c r="D60" s="82"/>
      <c r="E60" s="82"/>
      <c r="F60" s="84"/>
      <c r="G60" s="85"/>
      <c r="H60" s="77"/>
      <c r="I60" s="72"/>
    </row>
    <row r="61" s="73" customFormat="1" spans="1:5">
      <c r="A61" s="84"/>
      <c r="B61" s="82"/>
      <c r="C61" s="82"/>
      <c r="D61" s="82"/>
      <c r="E61" s="82"/>
    </row>
    <row r="62" s="73" customFormat="1" spans="1:5">
      <c r="A62" s="84"/>
      <c r="B62" s="82"/>
      <c r="C62" s="82"/>
      <c r="D62" s="82"/>
      <c r="E62" s="82"/>
    </row>
    <row r="63" s="73" customFormat="1" spans="1:5">
      <c r="A63" s="84"/>
      <c r="B63" s="82"/>
      <c r="C63" s="82"/>
      <c r="D63" s="82"/>
      <c r="E63" s="82"/>
    </row>
    <row r="64" s="73" customFormat="1" spans="1:5">
      <c r="A64" s="84"/>
      <c r="B64" s="82"/>
      <c r="C64" s="82"/>
      <c r="D64" s="82"/>
      <c r="E64" s="82"/>
    </row>
    <row r="65" spans="2:5">
      <c r="B65" s="86"/>
      <c r="C65" s="86"/>
      <c r="D65" s="86"/>
      <c r="E65" s="86"/>
    </row>
    <row r="66" spans="2:5">
      <c r="B66" s="86"/>
      <c r="C66" s="86"/>
      <c r="D66" s="86"/>
      <c r="E66" s="86"/>
    </row>
    <row r="67" spans="2:5">
      <c r="B67" s="86"/>
      <c r="C67" s="86"/>
      <c r="D67" s="86"/>
      <c r="E67" s="86"/>
    </row>
    <row r="68" spans="2:5">
      <c r="B68" s="86"/>
      <c r="C68" s="86"/>
      <c r="D68" s="86"/>
      <c r="E68" s="86"/>
    </row>
    <row r="69" spans="2:5">
      <c r="B69" s="86"/>
      <c r="C69" s="86"/>
      <c r="D69" s="86"/>
      <c r="E69" s="86"/>
    </row>
    <row r="70" spans="2:5">
      <c r="B70" s="86"/>
      <c r="C70" s="86"/>
      <c r="D70" s="86"/>
      <c r="E70" s="86"/>
    </row>
    <row r="71" spans="2:5">
      <c r="B71" s="86"/>
      <c r="C71" s="86"/>
      <c r="D71" s="86"/>
      <c r="E71" s="86"/>
    </row>
    <row r="72" spans="2:5">
      <c r="B72" s="86"/>
      <c r="C72" s="86"/>
      <c r="D72" s="86"/>
      <c r="E72" s="86"/>
    </row>
    <row r="73" spans="2:5">
      <c r="B73" s="86"/>
      <c r="C73" s="86"/>
      <c r="D73" s="86"/>
      <c r="E73" s="86"/>
    </row>
    <row r="74" spans="2:5">
      <c r="B74" s="86"/>
      <c r="C74" s="86"/>
      <c r="D74" s="86"/>
      <c r="E74" s="86"/>
    </row>
  </sheetData>
  <mergeCells count="3">
    <mergeCell ref="A28:I28"/>
    <mergeCell ref="A32:I32"/>
    <mergeCell ref="A48:I48"/>
  </mergeCells>
  <conditionalFormatting sqref="F30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conditionalFormatting sqref="F33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49:F60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21:F27 F31 F29 F34:F47">
    <cfRule type="cellIs" dxfId="0" priority="17" operator="equal">
      <formula>"N/A"</formula>
    </cfRule>
    <cfRule type="cellIs" dxfId="1" priority="18" operator="equal">
      <formula>"Fail"</formula>
    </cfRule>
    <cfRule type="cellIs" dxfId="2" priority="19" operator="equal">
      <formula>Fail</formula>
    </cfRule>
    <cfRule type="cellIs" dxfId="3" priority="20" operator="equal">
      <formula>"Pass"</formula>
    </cfRule>
  </conditionalFormatting>
  <dataValidations count="1">
    <dataValidation type="list" allowBlank="1" showErrorMessage="1" sqref="E16 F21:F47 F49:F60">
      <formula1>"Pass,Fail,N/A,Untested"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"/>
  <sheetViews>
    <sheetView zoomScale="70" zoomScaleNormal="70" topLeftCell="A8" workbookViewId="0">
      <selection activeCell="A2" sqref="A2"/>
    </sheetView>
  </sheetViews>
  <sheetFormatPr defaultColWidth="9.14285714285714" defaultRowHeight="15"/>
  <cols>
    <col min="1" max="1" width="25.0952380952381" customWidth="1"/>
    <col min="2" max="2" width="22.8571428571429" customWidth="1"/>
    <col min="3" max="3" width="57.1428571428571" customWidth="1"/>
    <col min="4" max="4" width="26.2857142857143" customWidth="1"/>
    <col min="5" max="5" width="24.1428571428571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3">
      <c r="A1" s="74" t="s">
        <v>0</v>
      </c>
      <c r="B1" s="74" t="s">
        <v>1</v>
      </c>
      <c r="C1" s="74" t="s">
        <v>2</v>
      </c>
    </row>
    <row r="2" ht="40" customHeight="1" spans="1:3">
      <c r="A2" s="87" t="s">
        <v>44</v>
      </c>
      <c r="B2" s="87" t="s">
        <v>45</v>
      </c>
      <c r="C2" s="87" t="s">
        <v>46</v>
      </c>
    </row>
    <row r="3" ht="51" customHeight="1" spans="1:3">
      <c r="A3" s="87" t="s">
        <v>47</v>
      </c>
      <c r="B3" s="87" t="s">
        <v>48</v>
      </c>
      <c r="C3" s="87" t="s">
        <v>49</v>
      </c>
    </row>
    <row r="4" ht="52" customHeight="1" spans="1:3">
      <c r="A4" s="87" t="s">
        <v>50</v>
      </c>
      <c r="B4" s="87" t="s">
        <v>51</v>
      </c>
      <c r="C4" s="87" t="s">
        <v>52</v>
      </c>
    </row>
    <row r="5" ht="52" customHeight="1" spans="1:3">
      <c r="A5" s="87" t="s">
        <v>53</v>
      </c>
      <c r="B5" s="87" t="s">
        <v>54</v>
      </c>
      <c r="C5" s="87" t="s">
        <v>55</v>
      </c>
    </row>
    <row r="6" ht="50" customHeight="1" spans="1:3">
      <c r="A6" s="87" t="s">
        <v>56</v>
      </c>
      <c r="B6" s="87" t="s">
        <v>57</v>
      </c>
      <c r="C6" s="87" t="s">
        <v>58</v>
      </c>
    </row>
    <row r="7" ht="51" customHeight="1" spans="1:3">
      <c r="A7" s="87" t="s">
        <v>59</v>
      </c>
      <c r="B7" s="87" t="s">
        <v>60</v>
      </c>
      <c r="C7" s="87" t="s">
        <v>61</v>
      </c>
    </row>
    <row r="8" ht="65" customHeight="1" spans="1:3">
      <c r="A8" s="87" t="s">
        <v>62</v>
      </c>
      <c r="B8" s="87" t="s">
        <v>63</v>
      </c>
      <c r="C8" s="87" t="s">
        <v>64</v>
      </c>
    </row>
    <row r="9" ht="51" customHeight="1" spans="1:3">
      <c r="A9" s="87" t="s">
        <v>65</v>
      </c>
      <c r="B9" s="87" t="s">
        <v>66</v>
      </c>
      <c r="C9" s="87" t="s">
        <v>67</v>
      </c>
    </row>
    <row r="10" ht="49" customHeight="1" spans="1:3">
      <c r="A10" s="87" t="s">
        <v>68</v>
      </c>
      <c r="B10" s="87" t="s">
        <v>69</v>
      </c>
      <c r="C10" s="87" t="s">
        <v>70</v>
      </c>
    </row>
    <row r="11" ht="51" customHeight="1" spans="1:3">
      <c r="A11" s="87" t="s">
        <v>71</v>
      </c>
      <c r="B11" s="87" t="s">
        <v>72</v>
      </c>
      <c r="C11" s="87" t="s">
        <v>73</v>
      </c>
    </row>
    <row r="12" ht="54" customHeight="1" spans="1:3">
      <c r="A12" s="87" t="s">
        <v>74</v>
      </c>
      <c r="B12" s="87" t="s">
        <v>31</v>
      </c>
      <c r="C12" s="87" t="s">
        <v>75</v>
      </c>
    </row>
    <row r="13" ht="76.5" customHeight="1" spans="1:3">
      <c r="A13" s="87"/>
      <c r="B13" s="87"/>
      <c r="C13" s="87"/>
    </row>
    <row r="14" ht="73" customHeight="1" spans="1:3">
      <c r="A14" s="87"/>
      <c r="B14" s="87"/>
      <c r="C14" s="87"/>
    </row>
    <row r="15" s="72" customFormat="1" ht="53" customHeight="1" spans="1:8">
      <c r="A15" s="87"/>
      <c r="B15" s="87"/>
      <c r="C15" s="87"/>
      <c r="D15" s="76"/>
      <c r="E15" s="76"/>
      <c r="F15" s="76"/>
      <c r="G15" s="76"/>
      <c r="H15" s="76"/>
    </row>
    <row r="16" ht="51" customHeight="1"/>
    <row r="17" s="73" customFormat="1"/>
    <row r="18" s="73" customFormat="1" ht="89.25" customHeight="1"/>
    <row r="19" s="73" customFormat="1"/>
    <row r="20" s="73" customFormat="1" ht="76.5" customHeight="1" spans="1:8">
      <c r="A20" s="77"/>
      <c r="B20" s="78"/>
      <c r="C20" s="78"/>
      <c r="D20" s="79"/>
      <c r="E20" s="78"/>
      <c r="F20" s="77"/>
      <c r="G20" s="80"/>
      <c r="H20" s="77"/>
    </row>
    <row r="21" s="73" customFormat="1" spans="1:8">
      <c r="A21" s="77"/>
      <c r="B21" s="78"/>
      <c r="C21" s="78"/>
      <c r="D21" s="79"/>
      <c r="E21" s="78"/>
      <c r="F21" s="77"/>
      <c r="G21" s="80"/>
      <c r="H21" s="77"/>
    </row>
    <row r="22" s="73" customFormat="1" spans="1:8">
      <c r="A22" s="77"/>
      <c r="B22" s="78"/>
      <c r="C22" s="78"/>
      <c r="D22" s="79"/>
      <c r="E22" s="78"/>
      <c r="F22" s="77"/>
      <c r="G22" s="80"/>
      <c r="H22" s="77"/>
    </row>
    <row r="23" s="73" customFormat="1" ht="89.25" customHeight="1" spans="1:8">
      <c r="A23" s="77"/>
      <c r="B23" s="78"/>
      <c r="C23" s="78"/>
      <c r="D23" s="79"/>
      <c r="E23" s="78"/>
      <c r="F23" s="77"/>
      <c r="G23" s="80"/>
      <c r="H23" s="77"/>
    </row>
    <row r="24" s="73" customFormat="1" spans="1:8">
      <c r="A24" s="77"/>
      <c r="B24" s="78"/>
      <c r="C24" s="78"/>
      <c r="D24" s="79"/>
      <c r="E24" s="78"/>
      <c r="F24" s="77"/>
      <c r="G24" s="80"/>
      <c r="H24" s="77"/>
    </row>
    <row r="25" s="73" customFormat="1" ht="76.5" customHeight="1" spans="1:8">
      <c r="A25" s="77"/>
      <c r="B25" s="78"/>
      <c r="C25" s="78"/>
      <c r="D25" s="79"/>
      <c r="E25" s="78"/>
      <c r="F25" s="77"/>
      <c r="G25" s="80"/>
      <c r="H25" s="77"/>
    </row>
    <row r="26" s="73" customFormat="1" spans="1:8">
      <c r="A26" s="77"/>
      <c r="B26" s="78"/>
      <c r="C26" s="78"/>
      <c r="D26" s="79"/>
      <c r="E26" s="78"/>
      <c r="F26" s="77"/>
      <c r="G26" s="80"/>
      <c r="H26" s="77"/>
    </row>
    <row r="27" s="73" customFormat="1" customHeight="1" spans="1:9">
      <c r="A27" s="77"/>
      <c r="B27" s="77"/>
      <c r="C27" s="77"/>
      <c r="D27" s="77"/>
      <c r="E27" s="77"/>
      <c r="F27" s="77"/>
      <c r="G27" s="77"/>
      <c r="H27" s="77"/>
      <c r="I27" s="77"/>
    </row>
    <row r="28" s="73" customFormat="1" spans="1:8">
      <c r="A28" s="77"/>
      <c r="B28" s="78"/>
      <c r="C28" s="78"/>
      <c r="D28" s="79"/>
      <c r="E28" s="78"/>
      <c r="F28" s="77"/>
      <c r="G28" s="80"/>
      <c r="H28" s="77"/>
    </row>
    <row r="29" s="73" customFormat="1" ht="51" customHeight="1" spans="1:8">
      <c r="A29" s="77"/>
      <c r="B29" s="78"/>
      <c r="C29" s="78"/>
      <c r="D29" s="79"/>
      <c r="E29" s="78"/>
      <c r="F29" s="77"/>
      <c r="G29" s="80"/>
      <c r="H29" s="77"/>
    </row>
    <row r="30" s="73" customFormat="1" spans="1:8">
      <c r="A30" s="77"/>
      <c r="B30" s="78"/>
      <c r="C30" s="78"/>
      <c r="D30" s="79"/>
      <c r="E30" s="78"/>
      <c r="F30" s="77"/>
      <c r="G30" s="80"/>
      <c r="H30" s="77"/>
    </row>
    <row r="31" s="73" customFormat="1" customHeight="1" spans="1:9">
      <c r="A31" s="81"/>
      <c r="B31" s="81"/>
      <c r="C31" s="81"/>
      <c r="D31" s="81"/>
      <c r="E31" s="81"/>
      <c r="F31" s="81"/>
      <c r="G31" s="81"/>
      <c r="H31" s="81"/>
      <c r="I31" s="81"/>
    </row>
    <row r="32" s="73" customFormat="1" spans="1:9">
      <c r="A32" s="77"/>
      <c r="B32" s="78"/>
      <c r="C32" s="78"/>
      <c r="D32" s="79"/>
      <c r="E32" s="78"/>
      <c r="F32" s="77"/>
      <c r="G32" s="80"/>
      <c r="H32" s="77"/>
      <c r="I32" s="81"/>
    </row>
    <row r="33" s="73" customFormat="1" ht="76.5" customHeight="1" spans="1:8">
      <c r="A33" s="77"/>
      <c r="B33" s="78"/>
      <c r="C33" s="78"/>
      <c r="D33" s="79"/>
      <c r="E33" s="78"/>
      <c r="F33" s="77"/>
      <c r="G33" s="80"/>
      <c r="H33" s="77"/>
    </row>
    <row r="34" s="73" customFormat="1" spans="1:8">
      <c r="A34" s="77"/>
      <c r="B34" s="78"/>
      <c r="C34" s="78"/>
      <c r="D34" s="79"/>
      <c r="E34" s="82"/>
      <c r="F34" s="77"/>
      <c r="G34" s="80"/>
      <c r="H34" s="77"/>
    </row>
    <row r="35" s="73" customFormat="1" spans="1:8">
      <c r="A35" s="77"/>
      <c r="B35" s="82"/>
      <c r="C35" s="78"/>
      <c r="D35" s="79"/>
      <c r="E35" s="78"/>
      <c r="F35" s="77"/>
      <c r="G35" s="80"/>
      <c r="H35" s="77"/>
    </row>
    <row r="36" s="73" customFormat="1" spans="1:8">
      <c r="A36" s="77"/>
      <c r="B36" s="82"/>
      <c r="C36" s="78"/>
      <c r="D36" s="79"/>
      <c r="E36" s="82"/>
      <c r="F36" s="77"/>
      <c r="G36" s="80"/>
      <c r="H36" s="77"/>
    </row>
    <row r="37" s="73" customFormat="1" spans="1:8">
      <c r="A37" s="77"/>
      <c r="B37" s="82"/>
      <c r="C37" s="78"/>
      <c r="D37" s="79"/>
      <c r="E37" s="82"/>
      <c r="F37" s="77"/>
      <c r="G37" s="80"/>
      <c r="H37" s="77"/>
    </row>
    <row r="38" s="73" customFormat="1" spans="1:8">
      <c r="A38" s="77"/>
      <c r="B38" s="82"/>
      <c r="C38" s="78"/>
      <c r="D38" s="79"/>
      <c r="E38" s="82"/>
      <c r="F38" s="77"/>
      <c r="G38" s="80"/>
      <c r="H38" s="77"/>
    </row>
    <row r="39" s="73" customFormat="1" ht="51" customHeight="1" spans="1:8">
      <c r="A39" s="77"/>
      <c r="B39" s="82"/>
      <c r="C39" s="78"/>
      <c r="D39" s="79"/>
      <c r="E39" s="82"/>
      <c r="F39" s="77"/>
      <c r="G39" s="80"/>
      <c r="H39" s="77"/>
    </row>
    <row r="40" s="73" customFormat="1" spans="1:8">
      <c r="A40" s="77"/>
      <c r="B40" s="82"/>
      <c r="C40" s="78"/>
      <c r="D40" s="79"/>
      <c r="E40" s="82"/>
      <c r="F40" s="77"/>
      <c r="G40" s="80"/>
      <c r="H40" s="77"/>
    </row>
    <row r="41" s="73" customFormat="1" spans="1:8">
      <c r="A41" s="77"/>
      <c r="B41" s="82"/>
      <c r="C41" s="78"/>
      <c r="D41" s="79"/>
      <c r="E41" s="82"/>
      <c r="F41" s="77"/>
      <c r="G41" s="80"/>
      <c r="H41" s="77"/>
    </row>
    <row r="42" s="73" customFormat="1" spans="1:8">
      <c r="A42" s="77"/>
      <c r="B42" s="82"/>
      <c r="C42" s="78"/>
      <c r="D42" s="79"/>
      <c r="E42" s="82"/>
      <c r="F42" s="77"/>
      <c r="G42" s="80"/>
      <c r="H42" s="77"/>
    </row>
    <row r="43" s="73" customFormat="1" spans="1:8">
      <c r="A43" s="77"/>
      <c r="B43" s="82"/>
      <c r="C43" s="78"/>
      <c r="D43" s="79"/>
      <c r="E43" s="82"/>
      <c r="F43" s="77"/>
      <c r="G43" s="80"/>
      <c r="H43" s="77"/>
    </row>
    <row r="44" s="73" customFormat="1" spans="1:8">
      <c r="A44" s="77"/>
      <c r="B44" s="82"/>
      <c r="C44" s="82"/>
      <c r="D44" s="79"/>
      <c r="E44" s="82"/>
      <c r="F44" s="77"/>
      <c r="G44" s="80"/>
      <c r="H44" s="77"/>
    </row>
    <row r="45" s="73" customFormat="1" spans="1:8">
      <c r="A45" s="77"/>
      <c r="C45" s="82"/>
      <c r="D45" s="79"/>
      <c r="E45" s="82"/>
      <c r="F45" s="77"/>
      <c r="G45" s="80"/>
      <c r="H45" s="77"/>
    </row>
    <row r="46" s="73" customFormat="1" spans="1:8">
      <c r="A46" s="77"/>
      <c r="B46" s="82"/>
      <c r="C46" s="82"/>
      <c r="D46" s="79"/>
      <c r="E46" s="82"/>
      <c r="F46" s="77"/>
      <c r="G46" s="80"/>
      <c r="H46" s="77"/>
    </row>
    <row r="47" s="73" customFormat="1" spans="1:9">
      <c r="A47" s="83"/>
      <c r="B47" s="83"/>
      <c r="C47" s="83"/>
      <c r="D47" s="83"/>
      <c r="E47" s="83"/>
      <c r="F47" s="83"/>
      <c r="G47" s="83"/>
      <c r="H47" s="83"/>
      <c r="I47" s="83"/>
    </row>
    <row r="48" s="73" customFormat="1" spans="1:9">
      <c r="A48" s="84"/>
      <c r="B48" s="82"/>
      <c r="C48" s="82"/>
      <c r="D48" s="79"/>
      <c r="E48" s="82"/>
      <c r="F48" s="84"/>
      <c r="G48" s="85"/>
      <c r="H48" s="77"/>
      <c r="I48" s="72"/>
    </row>
    <row r="49" s="73" customFormat="1" ht="99" customHeight="1" spans="1:9">
      <c r="A49" s="84"/>
      <c r="B49" s="82"/>
      <c r="C49" s="82"/>
      <c r="D49" s="79"/>
      <c r="E49" s="82"/>
      <c r="F49" s="84"/>
      <c r="G49" s="85"/>
      <c r="H49" s="77"/>
      <c r="I49" s="72"/>
    </row>
    <row r="50" s="73" customFormat="1" spans="1:9">
      <c r="A50" s="84"/>
      <c r="B50" s="82"/>
      <c r="C50" s="82"/>
      <c r="D50" s="79"/>
      <c r="E50" s="82"/>
      <c r="F50" s="84"/>
      <c r="G50" s="85"/>
      <c r="H50" s="77"/>
      <c r="I50" s="72"/>
    </row>
    <row r="51" s="73" customFormat="1" spans="1:9">
      <c r="A51" s="84"/>
      <c r="B51" s="82"/>
      <c r="C51" s="82"/>
      <c r="D51" s="79"/>
      <c r="E51" s="82"/>
      <c r="F51" s="84"/>
      <c r="G51" s="85"/>
      <c r="H51" s="77"/>
      <c r="I51" s="72"/>
    </row>
    <row r="52" s="73" customFormat="1" spans="1:9">
      <c r="A52" s="84"/>
      <c r="B52" s="82"/>
      <c r="C52" s="82"/>
      <c r="D52" s="79"/>
      <c r="E52" s="82"/>
      <c r="F52" s="84"/>
      <c r="G52" s="85"/>
      <c r="H52" s="77"/>
      <c r="I52" s="72"/>
    </row>
    <row r="53" s="73" customFormat="1" spans="1:9">
      <c r="A53" s="84"/>
      <c r="B53" s="82"/>
      <c r="C53" s="82"/>
      <c r="D53" s="79"/>
      <c r="E53" s="82"/>
      <c r="F53" s="84"/>
      <c r="G53" s="85"/>
      <c r="H53" s="77"/>
      <c r="I53" s="72"/>
    </row>
    <row r="54" s="73" customFormat="1" spans="1:9">
      <c r="A54" s="84"/>
      <c r="B54" s="82"/>
      <c r="C54" s="82"/>
      <c r="D54" s="79"/>
      <c r="E54" s="82"/>
      <c r="F54" s="84"/>
      <c r="G54" s="85"/>
      <c r="H54" s="77"/>
      <c r="I54" s="72"/>
    </row>
    <row r="55" s="73" customFormat="1" spans="1:9">
      <c r="A55" s="84"/>
      <c r="B55" s="82"/>
      <c r="C55" s="82"/>
      <c r="D55" s="79"/>
      <c r="E55" s="82"/>
      <c r="F55" s="84"/>
      <c r="G55" s="85"/>
      <c r="H55" s="77"/>
      <c r="I55" s="72"/>
    </row>
    <row r="56" s="73" customFormat="1" spans="1:9">
      <c r="A56" s="84"/>
      <c r="B56" s="82"/>
      <c r="C56" s="82"/>
      <c r="D56" s="79"/>
      <c r="E56" s="82"/>
      <c r="F56" s="84"/>
      <c r="G56" s="85"/>
      <c r="H56" s="77"/>
      <c r="I56" s="72"/>
    </row>
    <row r="57" s="73" customFormat="1" spans="1:9">
      <c r="A57" s="84"/>
      <c r="B57" s="82"/>
      <c r="C57" s="82"/>
      <c r="D57" s="79"/>
      <c r="E57" s="82"/>
      <c r="F57" s="84"/>
      <c r="G57" s="85"/>
      <c r="H57" s="77"/>
      <c r="I57" s="72"/>
    </row>
    <row r="58" s="73" customFormat="1" spans="1:9">
      <c r="A58" s="84"/>
      <c r="B58" s="82"/>
      <c r="C58" s="82"/>
      <c r="D58" s="79"/>
      <c r="E58" s="82"/>
      <c r="F58" s="84"/>
      <c r="G58" s="85"/>
      <c r="H58" s="77"/>
      <c r="I58" s="72"/>
    </row>
    <row r="59" s="73" customFormat="1" spans="1:9">
      <c r="A59" s="84"/>
      <c r="B59" s="82"/>
      <c r="C59" s="82"/>
      <c r="D59" s="82"/>
      <c r="E59" s="82"/>
      <c r="F59" s="84"/>
      <c r="G59" s="85"/>
      <c r="H59" s="77"/>
      <c r="I59" s="72"/>
    </row>
    <row r="60" s="73" customFormat="1" spans="1:5">
      <c r="A60" s="84"/>
      <c r="B60" s="82"/>
      <c r="C60" s="82"/>
      <c r="D60" s="82"/>
      <c r="E60" s="82"/>
    </row>
    <row r="61" s="73" customFormat="1" spans="1:5">
      <c r="A61" s="84"/>
      <c r="B61" s="82"/>
      <c r="C61" s="82"/>
      <c r="D61" s="82"/>
      <c r="E61" s="82"/>
    </row>
    <row r="62" s="73" customFormat="1" spans="1:5">
      <c r="A62" s="84"/>
      <c r="B62" s="82"/>
      <c r="C62" s="82"/>
      <c r="D62" s="82"/>
      <c r="E62" s="82"/>
    </row>
    <row r="63" s="73" customFormat="1" spans="1:5">
      <c r="A63" s="84"/>
      <c r="B63" s="82"/>
      <c r="C63" s="82"/>
      <c r="D63" s="82"/>
      <c r="E63" s="82"/>
    </row>
    <row r="64" spans="2:5">
      <c r="B64" s="86"/>
      <c r="C64" s="86"/>
      <c r="D64" s="86"/>
      <c r="E64" s="86"/>
    </row>
    <row r="65" spans="2:5">
      <c r="B65" s="86"/>
      <c r="C65" s="86"/>
      <c r="D65" s="86"/>
      <c r="E65" s="86"/>
    </row>
    <row r="66" spans="2:5">
      <c r="B66" s="86"/>
      <c r="C66" s="86"/>
      <c r="D66" s="86"/>
      <c r="E66" s="86"/>
    </row>
    <row r="67" spans="2:5">
      <c r="B67" s="86"/>
      <c r="C67" s="86"/>
      <c r="D67" s="86"/>
      <c r="E67" s="86"/>
    </row>
    <row r="68" spans="2:5">
      <c r="B68" s="86"/>
      <c r="C68" s="86"/>
      <c r="D68" s="86"/>
      <c r="E68" s="86"/>
    </row>
    <row r="69" spans="2:5">
      <c r="B69" s="86"/>
      <c r="C69" s="86"/>
      <c r="D69" s="86"/>
      <c r="E69" s="86"/>
    </row>
    <row r="70" spans="2:5">
      <c r="B70" s="86"/>
      <c r="C70" s="86"/>
      <c r="D70" s="86"/>
      <c r="E70" s="86"/>
    </row>
    <row r="71" spans="2:5">
      <c r="B71" s="86"/>
      <c r="C71" s="86"/>
      <c r="D71" s="86"/>
      <c r="E71" s="86"/>
    </row>
    <row r="72" spans="2:5">
      <c r="B72" s="86"/>
      <c r="C72" s="86"/>
      <c r="D72" s="86"/>
      <c r="E72" s="86"/>
    </row>
    <row r="73" spans="2:5">
      <c r="B73" s="86"/>
      <c r="C73" s="86"/>
      <c r="D73" s="86"/>
      <c r="E73" s="86"/>
    </row>
  </sheetData>
  <mergeCells count="3">
    <mergeCell ref="A27:I27"/>
    <mergeCell ref="A31:I31"/>
    <mergeCell ref="A47:I47"/>
  </mergeCells>
  <conditionalFormatting sqref="F29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32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48:F59">
    <cfRule type="cellIs" dxfId="0" priority="1" operator="equal">
      <formula>"N/A"</formula>
    </cfRule>
    <cfRule type="cellIs" dxfId="1" priority="2" operator="equal">
      <formula>"Fail"</formula>
    </cfRule>
    <cfRule type="cellIs" dxfId="2" priority="3" operator="equal">
      <formula>Fail</formula>
    </cfRule>
    <cfRule type="cellIs" dxfId="3" priority="4" operator="equal">
      <formula>"Pass"</formula>
    </cfRule>
  </conditionalFormatting>
  <conditionalFormatting sqref="F20:F26 F33:F46 F28 F30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dataValidations count="1">
    <dataValidation type="list" allowBlank="1" showErrorMessage="1" sqref="E15 F20:F46 F48:F59">
      <formula1>"Pass,Fail,N/A,Untested"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"/>
  <sheetViews>
    <sheetView zoomScale="70" zoomScaleNormal="70" topLeftCell="A4" workbookViewId="0">
      <selection activeCell="E10" sqref="E10"/>
    </sheetView>
  </sheetViews>
  <sheetFormatPr defaultColWidth="9.14285714285714" defaultRowHeight="15"/>
  <cols>
    <col min="1" max="1" width="25.0952380952381" customWidth="1"/>
    <col min="2" max="2" width="22.8571428571429" customWidth="1"/>
    <col min="3" max="3" width="57.1428571428571" customWidth="1"/>
    <col min="4" max="4" width="26.2857142857143" customWidth="1"/>
    <col min="5" max="5" width="24.1428571428571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3">
      <c r="A1" s="74" t="s">
        <v>0</v>
      </c>
      <c r="B1" s="74" t="s">
        <v>1</v>
      </c>
      <c r="C1" s="74" t="s">
        <v>2</v>
      </c>
    </row>
    <row r="2" ht="45" customHeight="1" spans="1:3">
      <c r="A2" s="87" t="s">
        <v>76</v>
      </c>
      <c r="B2" s="87" t="s">
        <v>77</v>
      </c>
      <c r="C2" s="87" t="s">
        <v>78</v>
      </c>
    </row>
    <row r="3" ht="40" customHeight="1" spans="1:3">
      <c r="A3" s="87" t="s">
        <v>79</v>
      </c>
      <c r="B3" s="87" t="s">
        <v>80</v>
      </c>
      <c r="C3" s="87" t="s">
        <v>81</v>
      </c>
    </row>
    <row r="4" ht="51" customHeight="1" spans="1:3">
      <c r="A4" s="87" t="s">
        <v>82</v>
      </c>
      <c r="B4" s="87" t="s">
        <v>83</v>
      </c>
      <c r="C4" s="87" t="s">
        <v>84</v>
      </c>
    </row>
    <row r="5" ht="52" customHeight="1" spans="1:3">
      <c r="A5" s="87" t="s">
        <v>85</v>
      </c>
      <c r="B5" s="87" t="s">
        <v>86</v>
      </c>
      <c r="C5" s="87" t="s">
        <v>87</v>
      </c>
    </row>
    <row r="6" ht="31" customHeight="1" spans="1:3">
      <c r="A6" s="87" t="s">
        <v>88</v>
      </c>
      <c r="B6" s="87" t="s">
        <v>89</v>
      </c>
      <c r="C6" s="87" t="s">
        <v>90</v>
      </c>
    </row>
    <row r="7" ht="50" customHeight="1" spans="1:3">
      <c r="A7" s="87" t="s">
        <v>91</v>
      </c>
      <c r="B7" s="87" t="s">
        <v>92</v>
      </c>
      <c r="C7" s="87" t="s">
        <v>93</v>
      </c>
    </row>
    <row r="8" ht="51" customHeight="1" spans="1:3">
      <c r="A8" s="87" t="s">
        <v>94</v>
      </c>
      <c r="B8" s="87" t="s">
        <v>95</v>
      </c>
      <c r="C8" s="87" t="s">
        <v>96</v>
      </c>
    </row>
    <row r="9" ht="65" customHeight="1" spans="1:3">
      <c r="A9" s="87" t="s">
        <v>97</v>
      </c>
      <c r="B9" s="87" t="s">
        <v>98</v>
      </c>
      <c r="C9" s="87" t="s">
        <v>99</v>
      </c>
    </row>
    <row r="10" ht="51" customHeight="1" spans="1:3">
      <c r="A10" s="96" t="s">
        <v>100</v>
      </c>
      <c r="B10" s="96" t="s">
        <v>101</v>
      </c>
      <c r="C10" s="96" t="s">
        <v>102</v>
      </c>
    </row>
    <row r="11" ht="49" customHeight="1" spans="1:3">
      <c r="A11" s="87" t="s">
        <v>103</v>
      </c>
      <c r="B11" s="87" t="s">
        <v>104</v>
      </c>
      <c r="C11" s="87" t="s">
        <v>105</v>
      </c>
    </row>
    <row r="12" ht="51" customHeight="1" spans="1:4">
      <c r="A12" s="97"/>
      <c r="B12" s="97"/>
      <c r="C12" s="97"/>
      <c r="D12" s="73"/>
    </row>
    <row r="13" ht="54" customHeight="1" spans="1:4">
      <c r="A13" s="97"/>
      <c r="B13" s="97"/>
      <c r="C13" s="97"/>
      <c r="D13" s="73"/>
    </row>
    <row r="14" ht="76.5" customHeight="1" spans="1:4">
      <c r="A14" s="97"/>
      <c r="B14" s="97"/>
      <c r="C14" s="97"/>
      <c r="D14" s="73"/>
    </row>
    <row r="15" ht="73" customHeight="1" spans="1:4">
      <c r="A15" s="97"/>
      <c r="B15" s="97"/>
      <c r="C15" s="97"/>
      <c r="D15" s="73"/>
    </row>
    <row r="16" s="72" customFormat="1" ht="53" customHeight="1" spans="1:8">
      <c r="A16" s="97"/>
      <c r="B16" s="97"/>
      <c r="C16" s="97"/>
      <c r="D16" s="76"/>
      <c r="E16" s="76"/>
      <c r="F16" s="76"/>
      <c r="G16" s="76"/>
      <c r="H16" s="76"/>
    </row>
    <row r="17" ht="51" customHeight="1"/>
    <row r="18" s="73" customFormat="1"/>
    <row r="19" s="73" customFormat="1" ht="89.25" customHeight="1"/>
    <row r="20" s="73" customFormat="1"/>
    <row r="21" s="73" customFormat="1" ht="76.5" customHeight="1" spans="1:8">
      <c r="A21" s="77"/>
      <c r="B21" s="78"/>
      <c r="C21" s="78"/>
      <c r="D21" s="79"/>
      <c r="E21" s="78"/>
      <c r="F21" s="77"/>
      <c r="G21" s="80"/>
      <c r="H21" s="77"/>
    </row>
    <row r="22" s="73" customFormat="1" spans="1:8">
      <c r="A22" s="77"/>
      <c r="B22" s="78"/>
      <c r="C22" s="78"/>
      <c r="D22" s="79"/>
      <c r="E22" s="78"/>
      <c r="F22" s="77"/>
      <c r="G22" s="80"/>
      <c r="H22" s="77"/>
    </row>
    <row r="23" s="73" customFormat="1" spans="1:8">
      <c r="A23" s="77"/>
      <c r="B23" s="78"/>
      <c r="C23" s="78"/>
      <c r="D23" s="79"/>
      <c r="E23" s="78"/>
      <c r="F23" s="77"/>
      <c r="G23" s="80"/>
      <c r="H23" s="77"/>
    </row>
    <row r="24" s="73" customFormat="1" ht="89.25" customHeight="1" spans="1:8">
      <c r="A24" s="77"/>
      <c r="B24" s="78"/>
      <c r="C24" s="78"/>
      <c r="D24" s="79"/>
      <c r="E24" s="78"/>
      <c r="F24" s="77"/>
      <c r="G24" s="80"/>
      <c r="H24" s="77"/>
    </row>
    <row r="25" s="73" customFormat="1" spans="1:8">
      <c r="A25" s="77"/>
      <c r="B25" s="78"/>
      <c r="C25" s="78"/>
      <c r="D25" s="79"/>
      <c r="E25" s="78"/>
      <c r="F25" s="77"/>
      <c r="G25" s="80"/>
      <c r="H25" s="77"/>
    </row>
    <row r="26" s="73" customFormat="1" ht="76.5" customHeight="1" spans="1:8">
      <c r="A26" s="77"/>
      <c r="B26" s="78"/>
      <c r="C26" s="78"/>
      <c r="D26" s="79"/>
      <c r="E26" s="78"/>
      <c r="F26" s="77"/>
      <c r="G26" s="80"/>
      <c r="H26" s="77"/>
    </row>
    <row r="27" s="73" customFormat="1" spans="1:8">
      <c r="A27" s="77"/>
      <c r="B27" s="78"/>
      <c r="C27" s="78"/>
      <c r="D27" s="79"/>
      <c r="E27" s="78"/>
      <c r="F27" s="77"/>
      <c r="G27" s="80"/>
      <c r="H27" s="77"/>
    </row>
    <row r="28" s="73" customFormat="1" customHeight="1" spans="1:9">
      <c r="A28" s="77"/>
      <c r="B28" s="77"/>
      <c r="C28" s="77"/>
      <c r="D28" s="77"/>
      <c r="E28" s="77"/>
      <c r="F28" s="77"/>
      <c r="G28" s="77"/>
      <c r="H28" s="77"/>
      <c r="I28" s="77"/>
    </row>
    <row r="29" s="73" customFormat="1" spans="1:8">
      <c r="A29" s="77"/>
      <c r="B29" s="78"/>
      <c r="C29" s="78"/>
      <c r="D29" s="79"/>
      <c r="E29" s="78"/>
      <c r="F29" s="77"/>
      <c r="G29" s="80"/>
      <c r="H29" s="77"/>
    </row>
    <row r="30" s="73" customFormat="1" ht="51" customHeight="1" spans="1:8">
      <c r="A30" s="77"/>
      <c r="B30" s="78"/>
      <c r="C30" s="78"/>
      <c r="D30" s="79"/>
      <c r="E30" s="78"/>
      <c r="F30" s="77"/>
      <c r="G30" s="80"/>
      <c r="H30" s="77"/>
    </row>
    <row r="31" s="73" customFormat="1" spans="1:8">
      <c r="A31" s="77"/>
      <c r="B31" s="78"/>
      <c r="C31" s="78"/>
      <c r="D31" s="79"/>
      <c r="E31" s="78"/>
      <c r="F31" s="77"/>
      <c r="G31" s="80"/>
      <c r="H31" s="77"/>
    </row>
    <row r="32" s="73" customFormat="1" customHeight="1" spans="1:9">
      <c r="A32" s="81"/>
      <c r="B32" s="81"/>
      <c r="C32" s="81"/>
      <c r="D32" s="81"/>
      <c r="E32" s="81"/>
      <c r="F32" s="81"/>
      <c r="G32" s="81"/>
      <c r="H32" s="81"/>
      <c r="I32" s="81"/>
    </row>
    <row r="33" s="73" customFormat="1" spans="1:9">
      <c r="A33" s="77"/>
      <c r="B33" s="78"/>
      <c r="C33" s="78"/>
      <c r="D33" s="79"/>
      <c r="E33" s="78"/>
      <c r="F33" s="77"/>
      <c r="G33" s="80"/>
      <c r="H33" s="77"/>
      <c r="I33" s="81"/>
    </row>
    <row r="34" s="73" customFormat="1" ht="76.5" customHeight="1" spans="1:8">
      <c r="A34" s="77"/>
      <c r="B34" s="78"/>
      <c r="C34" s="78"/>
      <c r="D34" s="79"/>
      <c r="E34" s="78"/>
      <c r="F34" s="77"/>
      <c r="G34" s="80"/>
      <c r="H34" s="77"/>
    </row>
    <row r="35" s="73" customFormat="1" spans="1:8">
      <c r="A35" s="77"/>
      <c r="B35" s="78"/>
      <c r="C35" s="78"/>
      <c r="D35" s="79"/>
      <c r="E35" s="82"/>
      <c r="F35" s="77"/>
      <c r="G35" s="80"/>
      <c r="H35" s="77"/>
    </row>
    <row r="36" s="73" customFormat="1" spans="1:8">
      <c r="A36" s="77"/>
      <c r="B36" s="82"/>
      <c r="C36" s="78"/>
      <c r="D36" s="79"/>
      <c r="E36" s="78"/>
      <c r="F36" s="77"/>
      <c r="G36" s="80"/>
      <c r="H36" s="77"/>
    </row>
    <row r="37" s="73" customFormat="1" spans="1:8">
      <c r="A37" s="77"/>
      <c r="B37" s="82"/>
      <c r="C37" s="78"/>
      <c r="D37" s="79"/>
      <c r="E37" s="82"/>
      <c r="F37" s="77"/>
      <c r="G37" s="80"/>
      <c r="H37" s="77"/>
    </row>
    <row r="38" s="73" customFormat="1" spans="1:8">
      <c r="A38" s="77"/>
      <c r="B38" s="82"/>
      <c r="C38" s="78"/>
      <c r="D38" s="79"/>
      <c r="E38" s="82"/>
      <c r="F38" s="77"/>
      <c r="G38" s="80"/>
      <c r="H38" s="77"/>
    </row>
    <row r="39" s="73" customFormat="1" spans="1:8">
      <c r="A39" s="77"/>
      <c r="B39" s="82"/>
      <c r="C39" s="78"/>
      <c r="D39" s="79"/>
      <c r="E39" s="82"/>
      <c r="F39" s="77"/>
      <c r="G39" s="80"/>
      <c r="H39" s="77"/>
    </row>
    <row r="40" s="73" customFormat="1" ht="51" customHeight="1" spans="1:8">
      <c r="A40" s="77"/>
      <c r="B40" s="82"/>
      <c r="C40" s="78"/>
      <c r="D40" s="79"/>
      <c r="E40" s="82"/>
      <c r="F40" s="77"/>
      <c r="G40" s="80"/>
      <c r="H40" s="77"/>
    </row>
    <row r="41" s="73" customFormat="1" spans="1:8">
      <c r="A41" s="77"/>
      <c r="B41" s="82"/>
      <c r="C41" s="78"/>
      <c r="D41" s="79"/>
      <c r="E41" s="82"/>
      <c r="F41" s="77"/>
      <c r="G41" s="80"/>
      <c r="H41" s="77"/>
    </row>
    <row r="42" s="73" customFormat="1" spans="1:8">
      <c r="A42" s="77"/>
      <c r="B42" s="82"/>
      <c r="C42" s="78"/>
      <c r="D42" s="79"/>
      <c r="E42" s="82"/>
      <c r="F42" s="77"/>
      <c r="G42" s="80"/>
      <c r="H42" s="77"/>
    </row>
    <row r="43" s="73" customFormat="1" spans="1:8">
      <c r="A43" s="77"/>
      <c r="B43" s="82"/>
      <c r="C43" s="78"/>
      <c r="D43" s="79"/>
      <c r="E43" s="82"/>
      <c r="F43" s="77"/>
      <c r="G43" s="80"/>
      <c r="H43" s="77"/>
    </row>
    <row r="44" s="73" customFormat="1" spans="1:8">
      <c r="A44" s="77"/>
      <c r="B44" s="82"/>
      <c r="C44" s="78"/>
      <c r="D44" s="79"/>
      <c r="E44" s="82"/>
      <c r="F44" s="77"/>
      <c r="G44" s="80"/>
      <c r="H44" s="77"/>
    </row>
    <row r="45" s="73" customFormat="1" spans="1:8">
      <c r="A45" s="77"/>
      <c r="B45" s="82"/>
      <c r="C45" s="82"/>
      <c r="D45" s="79"/>
      <c r="E45" s="82"/>
      <c r="F45" s="77"/>
      <c r="G45" s="80"/>
      <c r="H45" s="77"/>
    </row>
    <row r="46" s="73" customFormat="1" spans="1:8">
      <c r="A46" s="77"/>
      <c r="C46" s="82"/>
      <c r="D46" s="79"/>
      <c r="E46" s="82"/>
      <c r="F46" s="77"/>
      <c r="G46" s="80"/>
      <c r="H46" s="77"/>
    </row>
    <row r="47" s="73" customFormat="1" spans="1:8">
      <c r="A47" s="77"/>
      <c r="B47" s="82"/>
      <c r="C47" s="82"/>
      <c r="D47" s="79"/>
      <c r="E47" s="82"/>
      <c r="F47" s="77"/>
      <c r="G47" s="80"/>
      <c r="H47" s="77"/>
    </row>
    <row r="48" s="73" customFormat="1" spans="1:9">
      <c r="A48" s="83"/>
      <c r="B48" s="83"/>
      <c r="C48" s="83"/>
      <c r="D48" s="83"/>
      <c r="E48" s="83"/>
      <c r="F48" s="83"/>
      <c r="G48" s="83"/>
      <c r="H48" s="83"/>
      <c r="I48" s="83"/>
    </row>
    <row r="49" s="73" customFormat="1" spans="1:9">
      <c r="A49" s="84"/>
      <c r="B49" s="82"/>
      <c r="C49" s="82"/>
      <c r="D49" s="79"/>
      <c r="E49" s="82"/>
      <c r="F49" s="84"/>
      <c r="G49" s="85"/>
      <c r="H49" s="77"/>
      <c r="I49" s="72"/>
    </row>
    <row r="50" s="73" customFormat="1" ht="99" customHeight="1" spans="1:9">
      <c r="A50" s="84"/>
      <c r="B50" s="82"/>
      <c r="C50" s="82"/>
      <c r="D50" s="79"/>
      <c r="E50" s="82"/>
      <c r="F50" s="84"/>
      <c r="G50" s="85"/>
      <c r="H50" s="77"/>
      <c r="I50" s="72"/>
    </row>
    <row r="51" s="73" customFormat="1" spans="1:9">
      <c r="A51" s="84"/>
      <c r="B51" s="82"/>
      <c r="C51" s="82"/>
      <c r="D51" s="79"/>
      <c r="E51" s="82"/>
      <c r="F51" s="84"/>
      <c r="G51" s="85"/>
      <c r="H51" s="77"/>
      <c r="I51" s="72"/>
    </row>
    <row r="52" s="73" customFormat="1" spans="1:9">
      <c r="A52" s="84"/>
      <c r="B52" s="82"/>
      <c r="C52" s="82"/>
      <c r="D52" s="79"/>
      <c r="E52" s="82"/>
      <c r="F52" s="84"/>
      <c r="G52" s="85"/>
      <c r="H52" s="77"/>
      <c r="I52" s="72"/>
    </row>
    <row r="53" s="73" customFormat="1" spans="1:9">
      <c r="A53" s="84"/>
      <c r="B53" s="82"/>
      <c r="C53" s="82"/>
      <c r="D53" s="79"/>
      <c r="E53" s="82"/>
      <c r="F53" s="84"/>
      <c r="G53" s="85"/>
      <c r="H53" s="77"/>
      <c r="I53" s="72"/>
    </row>
    <row r="54" s="73" customFormat="1" spans="1:9">
      <c r="A54" s="84"/>
      <c r="B54" s="82"/>
      <c r="C54" s="82"/>
      <c r="D54" s="79"/>
      <c r="E54" s="82"/>
      <c r="F54" s="84"/>
      <c r="G54" s="85"/>
      <c r="H54" s="77"/>
      <c r="I54" s="72"/>
    </row>
    <row r="55" s="73" customFormat="1" spans="1:9">
      <c r="A55" s="84"/>
      <c r="B55" s="82"/>
      <c r="C55" s="82"/>
      <c r="D55" s="79"/>
      <c r="E55" s="82"/>
      <c r="F55" s="84"/>
      <c r="G55" s="85"/>
      <c r="H55" s="77"/>
      <c r="I55" s="72"/>
    </row>
    <row r="56" s="73" customFormat="1" spans="1:9">
      <c r="A56" s="84"/>
      <c r="B56" s="82"/>
      <c r="C56" s="82"/>
      <c r="D56" s="79"/>
      <c r="E56" s="82"/>
      <c r="F56" s="84"/>
      <c r="G56" s="85"/>
      <c r="H56" s="77"/>
      <c r="I56" s="72"/>
    </row>
    <row r="57" s="73" customFormat="1" spans="1:9">
      <c r="A57" s="84"/>
      <c r="B57" s="82"/>
      <c r="C57" s="82"/>
      <c r="D57" s="79"/>
      <c r="E57" s="82"/>
      <c r="F57" s="84"/>
      <c r="G57" s="85"/>
      <c r="H57" s="77"/>
      <c r="I57" s="72"/>
    </row>
    <row r="58" s="73" customFormat="1" spans="1:9">
      <c r="A58" s="84"/>
      <c r="B58" s="82"/>
      <c r="C58" s="82"/>
      <c r="D58" s="79"/>
      <c r="E58" s="82"/>
      <c r="F58" s="84"/>
      <c r="G58" s="85"/>
      <c r="H58" s="77"/>
      <c r="I58" s="72"/>
    </row>
    <row r="59" s="73" customFormat="1" spans="1:9">
      <c r="A59" s="84"/>
      <c r="B59" s="82"/>
      <c r="C59" s="82"/>
      <c r="D59" s="79"/>
      <c r="E59" s="82"/>
      <c r="F59" s="84"/>
      <c r="G59" s="85"/>
      <c r="H59" s="77"/>
      <c r="I59" s="72"/>
    </row>
    <row r="60" s="73" customFormat="1" spans="1:9">
      <c r="A60" s="84"/>
      <c r="B60" s="82"/>
      <c r="C60" s="82"/>
      <c r="D60" s="82"/>
      <c r="E60" s="82"/>
      <c r="F60" s="84"/>
      <c r="G60" s="85"/>
      <c r="H60" s="77"/>
      <c r="I60" s="72"/>
    </row>
    <row r="61" s="73" customFormat="1" spans="1:5">
      <c r="A61" s="84"/>
      <c r="B61" s="82"/>
      <c r="C61" s="82"/>
      <c r="D61" s="82"/>
      <c r="E61" s="82"/>
    </row>
    <row r="62" s="73" customFormat="1" spans="1:5">
      <c r="A62" s="84"/>
      <c r="B62" s="82"/>
      <c r="C62" s="82"/>
      <c r="D62" s="82"/>
      <c r="E62" s="82"/>
    </row>
    <row r="63" s="73" customFormat="1" spans="1:5">
      <c r="A63" s="84"/>
      <c r="B63" s="82"/>
      <c r="C63" s="82"/>
      <c r="D63" s="82"/>
      <c r="E63" s="82"/>
    </row>
    <row r="64" s="73" customFormat="1" spans="1:5">
      <c r="A64" s="84"/>
      <c r="B64" s="82"/>
      <c r="C64" s="82"/>
      <c r="D64" s="82"/>
      <c r="E64" s="82"/>
    </row>
    <row r="65" spans="2:5">
      <c r="B65" s="86"/>
      <c r="C65" s="86"/>
      <c r="D65" s="86"/>
      <c r="E65" s="86"/>
    </row>
    <row r="66" spans="2:5">
      <c r="B66" s="86"/>
      <c r="C66" s="86"/>
      <c r="D66" s="86"/>
      <c r="E66" s="86"/>
    </row>
    <row r="67" spans="2:5">
      <c r="B67" s="86"/>
      <c r="C67" s="86"/>
      <c r="D67" s="86"/>
      <c r="E67" s="86"/>
    </row>
    <row r="68" spans="2:5">
      <c r="B68" s="86"/>
      <c r="C68" s="86"/>
      <c r="D68" s="86"/>
      <c r="E68" s="86"/>
    </row>
    <row r="69" spans="2:5">
      <c r="B69" s="86"/>
      <c r="C69" s="86"/>
      <c r="D69" s="86"/>
      <c r="E69" s="86"/>
    </row>
    <row r="70" spans="2:5">
      <c r="B70" s="86"/>
      <c r="C70" s="86"/>
      <c r="D70" s="86"/>
      <c r="E70" s="86"/>
    </row>
    <row r="71" spans="2:5">
      <c r="B71" s="86"/>
      <c r="C71" s="86"/>
      <c r="D71" s="86"/>
      <c r="E71" s="86"/>
    </row>
    <row r="72" spans="2:5">
      <c r="B72" s="86"/>
      <c r="C72" s="86"/>
      <c r="D72" s="86"/>
      <c r="E72" s="86"/>
    </row>
    <row r="73" spans="2:5">
      <c r="B73" s="86"/>
      <c r="C73" s="86"/>
      <c r="D73" s="86"/>
      <c r="E73" s="86"/>
    </row>
    <row r="74" spans="2:5">
      <c r="B74" s="86"/>
      <c r="C74" s="86"/>
      <c r="D74" s="86"/>
      <c r="E74" s="86"/>
    </row>
  </sheetData>
  <mergeCells count="3">
    <mergeCell ref="A28:I28"/>
    <mergeCell ref="A32:I32"/>
    <mergeCell ref="A48:I48"/>
  </mergeCells>
  <conditionalFormatting sqref="F30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33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49:F60">
    <cfRule type="cellIs" dxfId="0" priority="1" operator="equal">
      <formula>"N/A"</formula>
    </cfRule>
    <cfRule type="cellIs" dxfId="1" priority="2" operator="equal">
      <formula>"Fail"</formula>
    </cfRule>
    <cfRule type="cellIs" dxfId="2" priority="3" operator="equal">
      <formula>Fail</formula>
    </cfRule>
    <cfRule type="cellIs" dxfId="3" priority="4" operator="equal">
      <formula>"Pass"</formula>
    </cfRule>
  </conditionalFormatting>
  <conditionalFormatting sqref="F21:F27 F31 F29 F34:F47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dataValidations count="1">
    <dataValidation type="list" allowBlank="1" showErrorMessage="1" sqref="E16 F21:F47 F49:F60">
      <formula1>"Pass,Fail,N/A,Untested"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"/>
  <sheetViews>
    <sheetView zoomScale="70" zoomScaleNormal="70" topLeftCell="A22" workbookViewId="0">
      <selection activeCell="G16" sqref="G16"/>
    </sheetView>
  </sheetViews>
  <sheetFormatPr defaultColWidth="9.14285714285714" defaultRowHeight="15"/>
  <cols>
    <col min="1" max="1" width="25.0952380952381" customWidth="1"/>
    <col min="2" max="2" width="22.8571428571429" customWidth="1"/>
    <col min="3" max="3" width="57.1428571428571" customWidth="1"/>
    <col min="4" max="4" width="73.8761904761905" customWidth="1"/>
    <col min="5" max="5" width="24.1428571428571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4">
      <c r="A1" s="74" t="s">
        <v>0</v>
      </c>
      <c r="B1" s="89" t="s">
        <v>1</v>
      </c>
      <c r="C1" s="74" t="s">
        <v>2</v>
      </c>
      <c r="D1" s="90" t="s">
        <v>106</v>
      </c>
    </row>
    <row r="2" ht="50" customHeight="1" spans="1:4">
      <c r="A2" s="75" t="s">
        <v>107</v>
      </c>
      <c r="B2" s="91" t="s">
        <v>108</v>
      </c>
      <c r="C2" s="87" t="s">
        <v>109</v>
      </c>
      <c r="D2" s="87" t="s">
        <v>110</v>
      </c>
    </row>
    <row r="3" ht="45" customHeight="1" spans="1:4">
      <c r="A3" s="75" t="s">
        <v>111</v>
      </c>
      <c r="B3" s="91" t="s">
        <v>92</v>
      </c>
      <c r="C3" s="87" t="s">
        <v>112</v>
      </c>
      <c r="D3" s="87" t="s">
        <v>113</v>
      </c>
    </row>
    <row r="4" ht="40" customHeight="1" spans="1:4">
      <c r="A4" s="75" t="s">
        <v>114</v>
      </c>
      <c r="B4" s="91" t="s">
        <v>66</v>
      </c>
      <c r="C4" s="87" t="s">
        <v>115</v>
      </c>
      <c r="D4" s="87" t="s">
        <v>116</v>
      </c>
    </row>
    <row r="5" ht="51" customHeight="1" spans="1:4">
      <c r="A5" s="75" t="s">
        <v>117</v>
      </c>
      <c r="B5" s="91" t="s">
        <v>118</v>
      </c>
      <c r="C5" s="87" t="s">
        <v>119</v>
      </c>
      <c r="D5" s="87" t="s">
        <v>120</v>
      </c>
    </row>
    <row r="6" ht="52" customHeight="1" spans="1:4">
      <c r="A6" s="75" t="s">
        <v>121</v>
      </c>
      <c r="B6" s="91" t="s">
        <v>122</v>
      </c>
      <c r="C6" s="87" t="s">
        <v>123</v>
      </c>
      <c r="D6" s="87" t="s">
        <v>124</v>
      </c>
    </row>
    <row r="7" ht="52" customHeight="1" spans="1:4">
      <c r="A7" s="75" t="s">
        <v>125</v>
      </c>
      <c r="B7" s="91" t="s">
        <v>126</v>
      </c>
      <c r="C7" s="87" t="s">
        <v>127</v>
      </c>
      <c r="D7" s="87" t="s">
        <v>128</v>
      </c>
    </row>
    <row r="8" ht="50" customHeight="1" spans="1:4">
      <c r="A8" s="75" t="s">
        <v>129</v>
      </c>
      <c r="B8" s="91" t="s">
        <v>130</v>
      </c>
      <c r="C8" s="87" t="s">
        <v>131</v>
      </c>
      <c r="D8" s="87" t="s">
        <v>132</v>
      </c>
    </row>
    <row r="9" ht="51" customHeight="1" spans="1:4">
      <c r="A9" s="75" t="s">
        <v>133</v>
      </c>
      <c r="B9" s="91" t="s">
        <v>134</v>
      </c>
      <c r="C9" s="87" t="s">
        <v>135</v>
      </c>
      <c r="D9" s="87" t="s">
        <v>136</v>
      </c>
    </row>
    <row r="10" ht="65" customHeight="1" spans="1:4">
      <c r="A10" s="75" t="s">
        <v>137</v>
      </c>
      <c r="B10" s="91" t="s">
        <v>138</v>
      </c>
      <c r="C10" s="87" t="s">
        <v>139</v>
      </c>
      <c r="D10" s="87" t="s">
        <v>140</v>
      </c>
    </row>
    <row r="11" ht="51" customHeight="1" spans="1:4">
      <c r="A11" s="75" t="s">
        <v>141</v>
      </c>
      <c r="B11" s="91" t="s">
        <v>142</v>
      </c>
      <c r="C11" s="87" t="s">
        <v>143</v>
      </c>
      <c r="D11" s="87" t="s">
        <v>144</v>
      </c>
    </row>
    <row r="12" ht="49" customHeight="1" spans="1:4">
      <c r="A12" s="75" t="s">
        <v>145</v>
      </c>
      <c r="B12" s="91" t="s">
        <v>146</v>
      </c>
      <c r="C12" s="87" t="s">
        <v>147</v>
      </c>
      <c r="D12" s="87" t="s">
        <v>148</v>
      </c>
    </row>
    <row r="13" ht="51" customHeight="1" spans="1:4">
      <c r="A13" s="75" t="s">
        <v>149</v>
      </c>
      <c r="B13" s="91" t="s">
        <v>150</v>
      </c>
      <c r="C13" s="87" t="s">
        <v>151</v>
      </c>
      <c r="D13" s="87" t="s">
        <v>152</v>
      </c>
    </row>
    <row r="14" ht="54" customHeight="1" spans="1:4">
      <c r="A14" s="75" t="s">
        <v>153</v>
      </c>
      <c r="B14" s="91" t="s">
        <v>154</v>
      </c>
      <c r="C14" s="87" t="s">
        <v>155</v>
      </c>
      <c r="D14" s="87" t="s">
        <v>156</v>
      </c>
    </row>
    <row r="15" ht="76.5" customHeight="1" spans="1:4">
      <c r="A15" s="75" t="s">
        <v>157</v>
      </c>
      <c r="B15" s="91" t="s">
        <v>158</v>
      </c>
      <c r="C15" s="87" t="s">
        <v>151</v>
      </c>
      <c r="D15" s="87" t="s">
        <v>159</v>
      </c>
    </row>
    <row r="16" ht="73" customHeight="1" spans="1:4">
      <c r="A16" s="75" t="s">
        <v>160</v>
      </c>
      <c r="B16" s="91" t="s">
        <v>161</v>
      </c>
      <c r="C16" s="87" t="s">
        <v>151</v>
      </c>
      <c r="D16" s="87" t="s">
        <v>162</v>
      </c>
    </row>
    <row r="17" s="72" customFormat="1" ht="53" customHeight="1" spans="1:8">
      <c r="A17" s="75" t="s">
        <v>163</v>
      </c>
      <c r="B17" s="91" t="s">
        <v>164</v>
      </c>
      <c r="C17" s="87" t="s">
        <v>165</v>
      </c>
      <c r="D17" s="92" t="s">
        <v>166</v>
      </c>
      <c r="E17" s="76"/>
      <c r="F17" s="76"/>
      <c r="G17" s="76"/>
      <c r="H17" s="76"/>
    </row>
    <row r="18" ht="51" customHeight="1" spans="1:4">
      <c r="A18" s="75" t="s">
        <v>167</v>
      </c>
      <c r="B18" s="87" t="s">
        <v>168</v>
      </c>
      <c r="C18" s="87" t="s">
        <v>169</v>
      </c>
      <c r="D18" s="87" t="s">
        <v>170</v>
      </c>
    </row>
    <row r="19" s="73" customFormat="1" ht="37" customHeight="1" spans="1:4">
      <c r="A19" s="75" t="s">
        <v>171</v>
      </c>
      <c r="B19" s="87" t="s">
        <v>172</v>
      </c>
      <c r="C19" s="87" t="s">
        <v>173</v>
      </c>
      <c r="D19" s="87" t="s">
        <v>174</v>
      </c>
    </row>
    <row r="20" s="73" customFormat="1" ht="59" customHeight="1" spans="1:4">
      <c r="A20" s="75" t="s">
        <v>175</v>
      </c>
      <c r="B20" s="87" t="s">
        <v>176</v>
      </c>
      <c r="C20" s="87" t="s">
        <v>177</v>
      </c>
      <c r="D20" s="87" t="s">
        <v>178</v>
      </c>
    </row>
    <row r="21" s="73" customFormat="1" ht="59" customHeight="1" spans="1:4">
      <c r="A21" s="75" t="s">
        <v>179</v>
      </c>
      <c r="B21" s="87" t="s">
        <v>180</v>
      </c>
      <c r="C21" s="87" t="s">
        <v>181</v>
      </c>
      <c r="D21" s="87" t="s">
        <v>182</v>
      </c>
    </row>
    <row r="22" s="73" customFormat="1" ht="62" customHeight="1" spans="1:8">
      <c r="A22" s="93" t="s">
        <v>183</v>
      </c>
      <c r="B22" s="94" t="s">
        <v>184</v>
      </c>
      <c r="C22" s="94" t="s">
        <v>185</v>
      </c>
      <c r="D22" s="95" t="s">
        <v>186</v>
      </c>
      <c r="E22" s="78"/>
      <c r="F22" s="77"/>
      <c r="G22" s="80"/>
      <c r="H22" s="77"/>
    </row>
    <row r="23" s="73" customFormat="1" ht="66" customHeight="1" spans="1:8">
      <c r="A23" s="93" t="s">
        <v>187</v>
      </c>
      <c r="B23" s="94" t="s">
        <v>188</v>
      </c>
      <c r="C23" s="94" t="s">
        <v>189</v>
      </c>
      <c r="D23" s="95" t="s">
        <v>190</v>
      </c>
      <c r="E23" s="78"/>
      <c r="F23" s="77"/>
      <c r="G23" s="80"/>
      <c r="H23" s="77"/>
    </row>
    <row r="24" s="73" customFormat="1" ht="71" customHeight="1" spans="1:8">
      <c r="A24" s="93" t="s">
        <v>191</v>
      </c>
      <c r="B24" s="94" t="s">
        <v>192</v>
      </c>
      <c r="C24" s="94" t="s">
        <v>193</v>
      </c>
      <c r="D24" s="95" t="s">
        <v>194</v>
      </c>
      <c r="E24" s="78"/>
      <c r="F24" s="77"/>
      <c r="G24" s="80"/>
      <c r="H24" s="77"/>
    </row>
    <row r="25" s="73" customFormat="1" ht="68" customHeight="1" spans="1:8">
      <c r="A25" s="93" t="s">
        <v>195</v>
      </c>
      <c r="B25" s="94" t="s">
        <v>196</v>
      </c>
      <c r="C25" s="94" t="s">
        <v>197</v>
      </c>
      <c r="D25" s="95" t="s">
        <v>198</v>
      </c>
      <c r="E25" s="78"/>
      <c r="F25" s="77"/>
      <c r="G25" s="80"/>
      <c r="H25" s="77"/>
    </row>
    <row r="26" s="73" customFormat="1" ht="40" customHeight="1" spans="1:8">
      <c r="A26" s="93" t="s">
        <v>199</v>
      </c>
      <c r="B26" s="94" t="s">
        <v>200</v>
      </c>
      <c r="C26" s="94" t="s">
        <v>201</v>
      </c>
      <c r="D26" s="95" t="s">
        <v>202</v>
      </c>
      <c r="E26" s="78"/>
      <c r="F26" s="77"/>
      <c r="G26" s="80"/>
      <c r="H26" s="77"/>
    </row>
    <row r="27" s="73" customFormat="1" ht="76.5" customHeight="1" spans="1:8">
      <c r="A27" s="93" t="s">
        <v>203</v>
      </c>
      <c r="B27" s="94" t="s">
        <v>204</v>
      </c>
      <c r="C27" s="94" t="s">
        <v>205</v>
      </c>
      <c r="D27" s="95" t="s">
        <v>206</v>
      </c>
      <c r="E27" s="78"/>
      <c r="F27" s="77"/>
      <c r="G27" s="80"/>
      <c r="H27" s="77"/>
    </row>
    <row r="28" s="73" customFormat="1" spans="1:8">
      <c r="A28" s="77"/>
      <c r="B28" s="78"/>
      <c r="C28" s="78"/>
      <c r="D28" s="79"/>
      <c r="E28" s="78"/>
      <c r="F28" s="77"/>
      <c r="G28" s="80"/>
      <c r="H28" s="77"/>
    </row>
    <row r="29" s="73" customFormat="1" customHeight="1" spans="1:9">
      <c r="A29" s="77"/>
      <c r="B29" s="77"/>
      <c r="C29" s="77"/>
      <c r="D29" s="77"/>
      <c r="E29" s="77"/>
      <c r="F29" s="77"/>
      <c r="G29" s="77"/>
      <c r="H29" s="77"/>
      <c r="I29" s="77"/>
    </row>
    <row r="30" s="73" customFormat="1" spans="1:8">
      <c r="A30" s="77"/>
      <c r="B30" s="78"/>
      <c r="C30" s="78"/>
      <c r="D30" s="79"/>
      <c r="E30" s="78"/>
      <c r="F30" s="77"/>
      <c r="G30" s="80"/>
      <c r="H30" s="77"/>
    </row>
    <row r="31" s="73" customFormat="1" ht="51" customHeight="1" spans="1:8">
      <c r="A31" s="77"/>
      <c r="B31" s="78"/>
      <c r="C31" s="78"/>
      <c r="D31" s="79"/>
      <c r="E31" s="78"/>
      <c r="F31" s="77"/>
      <c r="G31" s="80"/>
      <c r="H31" s="77"/>
    </row>
    <row r="32" s="73" customFormat="1" spans="1:8">
      <c r="A32" s="77"/>
      <c r="B32" s="78"/>
      <c r="C32" s="78"/>
      <c r="D32" s="79"/>
      <c r="E32" s="78"/>
      <c r="F32" s="77"/>
      <c r="G32" s="80"/>
      <c r="H32" s="77"/>
    </row>
    <row r="33" s="73" customFormat="1" customHeight="1" spans="1:9">
      <c r="A33" s="81"/>
      <c r="B33" s="81"/>
      <c r="C33" s="81"/>
      <c r="D33" s="81"/>
      <c r="E33" s="81"/>
      <c r="F33" s="81"/>
      <c r="G33" s="81"/>
      <c r="H33" s="81"/>
      <c r="I33" s="81"/>
    </row>
    <row r="34" s="73" customFormat="1" spans="1:9">
      <c r="A34" s="77"/>
      <c r="B34" s="78"/>
      <c r="C34" s="78"/>
      <c r="D34" s="79"/>
      <c r="E34" s="78"/>
      <c r="F34" s="77"/>
      <c r="G34" s="80"/>
      <c r="H34" s="77"/>
      <c r="I34" s="81"/>
    </row>
    <row r="35" s="73" customFormat="1" ht="76.5" customHeight="1" spans="1:8">
      <c r="A35" s="77"/>
      <c r="B35" s="78"/>
      <c r="C35" s="78"/>
      <c r="D35" s="79"/>
      <c r="E35" s="78"/>
      <c r="F35" s="77"/>
      <c r="G35" s="80"/>
      <c r="H35" s="77"/>
    </row>
    <row r="36" s="73" customFormat="1" spans="1:8">
      <c r="A36" s="77"/>
      <c r="B36" s="78"/>
      <c r="C36" s="78"/>
      <c r="D36" s="79"/>
      <c r="E36" s="82"/>
      <c r="F36" s="77"/>
      <c r="G36" s="80"/>
      <c r="H36" s="77"/>
    </row>
    <row r="37" s="73" customFormat="1" spans="1:8">
      <c r="A37" s="77"/>
      <c r="B37" s="82"/>
      <c r="C37" s="78"/>
      <c r="D37" s="79"/>
      <c r="E37" s="78"/>
      <c r="F37" s="77"/>
      <c r="G37" s="80"/>
      <c r="H37" s="77"/>
    </row>
    <row r="38" s="73" customFormat="1" spans="1:8">
      <c r="A38" s="77"/>
      <c r="B38" s="82"/>
      <c r="C38" s="78"/>
      <c r="D38" s="79"/>
      <c r="E38" s="82"/>
      <c r="F38" s="77"/>
      <c r="G38" s="80"/>
      <c r="H38" s="77"/>
    </row>
    <row r="39" s="73" customFormat="1" spans="1:8">
      <c r="A39" s="77"/>
      <c r="B39" s="82"/>
      <c r="C39" s="78"/>
      <c r="D39" s="79"/>
      <c r="E39" s="82"/>
      <c r="F39" s="77"/>
      <c r="G39" s="80"/>
      <c r="H39" s="77"/>
    </row>
    <row r="40" s="73" customFormat="1" spans="1:8">
      <c r="A40" s="77"/>
      <c r="B40" s="82"/>
      <c r="C40" s="78"/>
      <c r="D40" s="79"/>
      <c r="E40" s="82"/>
      <c r="F40" s="77"/>
      <c r="G40" s="80"/>
      <c r="H40" s="77"/>
    </row>
    <row r="41" s="73" customFormat="1" ht="51" customHeight="1" spans="1:8">
      <c r="A41" s="77"/>
      <c r="B41" s="82"/>
      <c r="C41" s="78"/>
      <c r="D41" s="79"/>
      <c r="E41" s="82"/>
      <c r="F41" s="77"/>
      <c r="G41" s="80"/>
      <c r="H41" s="77"/>
    </row>
    <row r="42" s="73" customFormat="1" spans="1:8">
      <c r="A42" s="77"/>
      <c r="B42" s="82"/>
      <c r="C42" s="78"/>
      <c r="D42" s="79"/>
      <c r="E42" s="82"/>
      <c r="F42" s="77"/>
      <c r="G42" s="80"/>
      <c r="H42" s="77"/>
    </row>
    <row r="43" s="73" customFormat="1" spans="1:8">
      <c r="A43" s="77"/>
      <c r="B43" s="82"/>
      <c r="C43" s="78"/>
      <c r="D43" s="79"/>
      <c r="E43" s="82"/>
      <c r="F43" s="77"/>
      <c r="G43" s="80"/>
      <c r="H43" s="77"/>
    </row>
    <row r="44" s="73" customFormat="1" spans="1:8">
      <c r="A44" s="77"/>
      <c r="B44" s="82"/>
      <c r="C44" s="78"/>
      <c r="D44" s="79"/>
      <c r="E44" s="82"/>
      <c r="F44" s="77"/>
      <c r="G44" s="80"/>
      <c r="H44" s="77"/>
    </row>
    <row r="45" s="73" customFormat="1" spans="1:8">
      <c r="A45" s="77"/>
      <c r="B45" s="82"/>
      <c r="C45" s="78"/>
      <c r="D45" s="79"/>
      <c r="E45" s="82"/>
      <c r="F45" s="77"/>
      <c r="G45" s="80"/>
      <c r="H45" s="77"/>
    </row>
    <row r="46" s="73" customFormat="1" spans="1:8">
      <c r="A46" s="77"/>
      <c r="B46" s="82"/>
      <c r="C46" s="82"/>
      <c r="D46" s="79"/>
      <c r="E46" s="82"/>
      <c r="F46" s="77"/>
      <c r="G46" s="80"/>
      <c r="H46" s="77"/>
    </row>
    <row r="47" s="73" customFormat="1" spans="1:8">
      <c r="A47" s="77"/>
      <c r="C47" s="82"/>
      <c r="D47" s="79"/>
      <c r="E47" s="82"/>
      <c r="F47" s="77"/>
      <c r="G47" s="80"/>
      <c r="H47" s="77"/>
    </row>
    <row r="48" s="73" customFormat="1" spans="1:8">
      <c r="A48" s="77"/>
      <c r="B48" s="82"/>
      <c r="C48" s="82"/>
      <c r="D48" s="79"/>
      <c r="E48" s="82"/>
      <c r="F48" s="77"/>
      <c r="G48" s="80"/>
      <c r="H48" s="77"/>
    </row>
    <row r="49" s="73" customFormat="1" spans="1:9">
      <c r="A49" s="83"/>
      <c r="B49" s="83"/>
      <c r="C49" s="83"/>
      <c r="D49" s="83"/>
      <c r="E49" s="83"/>
      <c r="F49" s="83"/>
      <c r="G49" s="83"/>
      <c r="H49" s="83"/>
      <c r="I49" s="83"/>
    </row>
    <row r="50" s="73" customFormat="1" spans="1:9">
      <c r="A50" s="84"/>
      <c r="B50" s="82"/>
      <c r="C50" s="82"/>
      <c r="D50" s="79"/>
      <c r="E50" s="82"/>
      <c r="F50" s="84"/>
      <c r="G50" s="85"/>
      <c r="H50" s="77"/>
      <c r="I50" s="72"/>
    </row>
    <row r="51" s="73" customFormat="1" ht="99" customHeight="1" spans="1:9">
      <c r="A51" s="84"/>
      <c r="B51" s="82"/>
      <c r="C51" s="82"/>
      <c r="D51" s="79"/>
      <c r="E51" s="82"/>
      <c r="F51" s="84"/>
      <c r="G51" s="85"/>
      <c r="H51" s="77"/>
      <c r="I51" s="72"/>
    </row>
    <row r="52" s="73" customFormat="1" spans="1:9">
      <c r="A52" s="84"/>
      <c r="B52" s="82"/>
      <c r="C52" s="82"/>
      <c r="D52" s="79"/>
      <c r="E52" s="82"/>
      <c r="F52" s="84"/>
      <c r="G52" s="85"/>
      <c r="H52" s="77"/>
      <c r="I52" s="72"/>
    </row>
    <row r="53" s="73" customFormat="1" spans="1:9">
      <c r="A53" s="84"/>
      <c r="B53" s="82"/>
      <c r="C53" s="82"/>
      <c r="D53" s="79"/>
      <c r="E53" s="82"/>
      <c r="F53" s="84"/>
      <c r="G53" s="85"/>
      <c r="H53" s="77"/>
      <c r="I53" s="72"/>
    </row>
    <row r="54" s="73" customFormat="1" spans="1:9">
      <c r="A54" s="84"/>
      <c r="B54" s="82"/>
      <c r="C54" s="82"/>
      <c r="D54" s="79"/>
      <c r="E54" s="82"/>
      <c r="F54" s="84"/>
      <c r="G54" s="85"/>
      <c r="H54" s="77"/>
      <c r="I54" s="72"/>
    </row>
    <row r="55" s="73" customFormat="1" spans="1:9">
      <c r="A55" s="84"/>
      <c r="B55" s="82"/>
      <c r="C55" s="82"/>
      <c r="D55" s="79"/>
      <c r="E55" s="82"/>
      <c r="F55" s="84"/>
      <c r="G55" s="85"/>
      <c r="H55" s="77"/>
      <c r="I55" s="72"/>
    </row>
    <row r="56" s="73" customFormat="1" spans="1:9">
      <c r="A56" s="84"/>
      <c r="B56" s="82"/>
      <c r="C56" s="82"/>
      <c r="D56" s="79"/>
      <c r="E56" s="82"/>
      <c r="F56" s="84"/>
      <c r="G56" s="85"/>
      <c r="H56" s="77"/>
      <c r="I56" s="72"/>
    </row>
    <row r="57" s="73" customFormat="1" spans="1:9">
      <c r="A57" s="84"/>
      <c r="B57" s="82"/>
      <c r="C57" s="82"/>
      <c r="D57" s="79"/>
      <c r="E57" s="82"/>
      <c r="F57" s="84"/>
      <c r="G57" s="85"/>
      <c r="H57" s="77"/>
      <c r="I57" s="72"/>
    </row>
    <row r="58" s="73" customFormat="1" spans="1:9">
      <c r="A58" s="84"/>
      <c r="B58" s="82"/>
      <c r="C58" s="82"/>
      <c r="D58" s="79"/>
      <c r="E58" s="82"/>
      <c r="F58" s="84"/>
      <c r="G58" s="85"/>
      <c r="H58" s="77"/>
      <c r="I58" s="72"/>
    </row>
    <row r="59" s="73" customFormat="1" spans="1:9">
      <c r="A59" s="84"/>
      <c r="B59" s="82"/>
      <c r="C59" s="82"/>
      <c r="D59" s="79"/>
      <c r="E59" s="82"/>
      <c r="F59" s="84"/>
      <c r="G59" s="85"/>
      <c r="H59" s="77"/>
      <c r="I59" s="72"/>
    </row>
    <row r="60" s="73" customFormat="1" spans="1:9">
      <c r="A60" s="84"/>
      <c r="B60" s="82"/>
      <c r="C60" s="82"/>
      <c r="D60" s="79"/>
      <c r="E60" s="82"/>
      <c r="F60" s="84"/>
      <c r="G60" s="85"/>
      <c r="H60" s="77"/>
      <c r="I60" s="72"/>
    </row>
    <row r="61" s="73" customFormat="1" spans="1:9">
      <c r="A61" s="84"/>
      <c r="B61" s="82"/>
      <c r="C61" s="82"/>
      <c r="D61" s="82"/>
      <c r="E61" s="82"/>
      <c r="F61" s="84"/>
      <c r="G61" s="85"/>
      <c r="H61" s="77"/>
      <c r="I61" s="72"/>
    </row>
    <row r="62" s="73" customFormat="1" spans="1:5">
      <c r="A62" s="84"/>
      <c r="B62" s="82"/>
      <c r="C62" s="82"/>
      <c r="D62" s="82"/>
      <c r="E62" s="82"/>
    </row>
    <row r="63" s="73" customFormat="1" spans="1:5">
      <c r="A63" s="84"/>
      <c r="B63" s="82"/>
      <c r="C63" s="82"/>
      <c r="D63" s="82"/>
      <c r="E63" s="82"/>
    </row>
    <row r="64" s="73" customFormat="1" spans="1:5">
      <c r="A64" s="84"/>
      <c r="B64" s="82"/>
      <c r="C64" s="82"/>
      <c r="D64" s="82"/>
      <c r="E64" s="82"/>
    </row>
    <row r="65" s="73" customFormat="1" spans="1:5">
      <c r="A65" s="84"/>
      <c r="B65" s="82"/>
      <c r="C65" s="82"/>
      <c r="D65" s="82"/>
      <c r="E65" s="82"/>
    </row>
    <row r="66" spans="2:5">
      <c r="B66" s="86"/>
      <c r="C66" s="86"/>
      <c r="D66" s="86"/>
      <c r="E66" s="86"/>
    </row>
    <row r="67" spans="2:5">
      <c r="B67" s="86"/>
      <c r="C67" s="86"/>
      <c r="D67" s="86"/>
      <c r="E67" s="86"/>
    </row>
    <row r="68" spans="2:5">
      <c r="B68" s="86"/>
      <c r="C68" s="86"/>
      <c r="D68" s="86"/>
      <c r="E68" s="86"/>
    </row>
    <row r="69" spans="2:5">
      <c r="B69" s="86"/>
      <c r="C69" s="86"/>
      <c r="D69" s="86"/>
      <c r="E69" s="86"/>
    </row>
    <row r="70" spans="2:5">
      <c r="B70" s="86"/>
      <c r="C70" s="86"/>
      <c r="D70" s="86"/>
      <c r="E70" s="86"/>
    </row>
    <row r="71" spans="2:5">
      <c r="B71" s="86"/>
      <c r="C71" s="86"/>
      <c r="D71" s="86"/>
      <c r="E71" s="86"/>
    </row>
    <row r="72" spans="2:5">
      <c r="B72" s="86"/>
      <c r="C72" s="86"/>
      <c r="D72" s="86"/>
      <c r="E72" s="86"/>
    </row>
    <row r="73" spans="2:5">
      <c r="B73" s="86"/>
      <c r="C73" s="86"/>
      <c r="D73" s="86"/>
      <c r="E73" s="86"/>
    </row>
    <row r="74" spans="2:5">
      <c r="B74" s="86"/>
      <c r="C74" s="86"/>
      <c r="D74" s="86"/>
      <c r="E74" s="86"/>
    </row>
    <row r="75" spans="2:5">
      <c r="B75" s="86"/>
      <c r="C75" s="86"/>
      <c r="D75" s="86"/>
      <c r="E75" s="86"/>
    </row>
  </sheetData>
  <mergeCells count="3">
    <mergeCell ref="A29:I29"/>
    <mergeCell ref="A33:I33"/>
    <mergeCell ref="A49:I49"/>
  </mergeCells>
  <conditionalFormatting sqref="F31">
    <cfRule type="cellIs" dxfId="3" priority="12" operator="equal">
      <formula>"Pass"</formula>
    </cfRule>
    <cfRule type="cellIs" dxfId="2" priority="11" operator="equal">
      <formula>Fail</formula>
    </cfRule>
    <cfRule type="cellIs" dxfId="1" priority="10" operator="equal">
      <formula>"Fail"</formula>
    </cfRule>
    <cfRule type="cellIs" dxfId="0" priority="9" operator="equal">
      <formula>"N/A"</formula>
    </cfRule>
  </conditionalFormatting>
  <conditionalFormatting sqref="F34">
    <cfRule type="cellIs" dxfId="3" priority="8" operator="equal">
      <formula>"Pass"</formula>
    </cfRule>
    <cfRule type="cellIs" dxfId="2" priority="7" operator="equal">
      <formula>Fail</formula>
    </cfRule>
    <cfRule type="cellIs" dxfId="1" priority="6" operator="equal">
      <formula>"Fail"</formula>
    </cfRule>
    <cfRule type="cellIs" dxfId="0" priority="5" operator="equal">
      <formula>"N/A"</formula>
    </cfRule>
  </conditionalFormatting>
  <conditionalFormatting sqref="F50:F61">
    <cfRule type="cellIs" dxfId="3" priority="4" operator="equal">
      <formula>"Pass"</formula>
    </cfRule>
    <cfRule type="cellIs" dxfId="2" priority="3" operator="equal">
      <formula>Fail</formula>
    </cfRule>
    <cfRule type="cellIs" dxfId="1" priority="2" operator="equal">
      <formula>"Fail"</formula>
    </cfRule>
    <cfRule type="cellIs" dxfId="0" priority="1" operator="equal">
      <formula>"N/A"</formula>
    </cfRule>
  </conditionalFormatting>
  <conditionalFormatting sqref="F22:F28 F35:F48 F30 F32">
    <cfRule type="cellIs" dxfId="3" priority="16" operator="equal">
      <formula>"Pass"</formula>
    </cfRule>
    <cfRule type="cellIs" dxfId="2" priority="15" operator="equal">
      <formula>Fail</formula>
    </cfRule>
    <cfRule type="cellIs" dxfId="1" priority="14" operator="equal">
      <formula>"Fail"</formula>
    </cfRule>
    <cfRule type="cellIs" dxfId="0" priority="13" operator="equal">
      <formula>"N/A"</formula>
    </cfRule>
  </conditionalFormatting>
  <dataValidations count="1">
    <dataValidation type="list" allowBlank="1" showErrorMessage="1" sqref="E17 F22:F48 F50:F61">
      <formula1>"Pass,Fail,N/A,Untested"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"/>
  <sheetViews>
    <sheetView zoomScale="70" zoomScaleNormal="70" workbookViewId="0">
      <selection activeCell="A1" sqref="A1:C14"/>
    </sheetView>
  </sheetViews>
  <sheetFormatPr defaultColWidth="9.14285714285714" defaultRowHeight="15"/>
  <cols>
    <col min="1" max="1" width="25.0952380952381" customWidth="1"/>
    <col min="2" max="2" width="22.8571428571429" customWidth="1"/>
    <col min="3" max="3" width="57.1428571428571" customWidth="1"/>
    <col min="4" max="4" width="26.2857142857143" customWidth="1"/>
    <col min="5" max="5" width="24.1428571428571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3">
      <c r="A1" s="74" t="s">
        <v>0</v>
      </c>
      <c r="B1" s="74" t="s">
        <v>1</v>
      </c>
      <c r="C1" s="74" t="s">
        <v>2</v>
      </c>
    </row>
    <row r="2" ht="50" customHeight="1" spans="1:3">
      <c r="A2" s="87" t="s">
        <v>207</v>
      </c>
      <c r="B2" s="87" t="s">
        <v>4</v>
      </c>
      <c r="C2" s="87" t="s">
        <v>208</v>
      </c>
    </row>
    <row r="3" ht="45" customHeight="1" spans="1:3">
      <c r="A3" s="87" t="s">
        <v>209</v>
      </c>
      <c r="B3" s="87" t="s">
        <v>210</v>
      </c>
      <c r="C3" s="87" t="s">
        <v>211</v>
      </c>
    </row>
    <row r="4" ht="40" customHeight="1" spans="1:3">
      <c r="A4" s="87" t="s">
        <v>212</v>
      </c>
      <c r="B4" s="87" t="s">
        <v>213</v>
      </c>
      <c r="C4" s="87" t="s">
        <v>214</v>
      </c>
    </row>
    <row r="5" ht="51" customHeight="1" spans="1:3">
      <c r="A5" s="87" t="s">
        <v>215</v>
      </c>
      <c r="B5" s="87" t="s">
        <v>60</v>
      </c>
      <c r="C5" s="87" t="s">
        <v>216</v>
      </c>
    </row>
    <row r="6" ht="52" customHeight="1" spans="1:3">
      <c r="A6" s="87" t="s">
        <v>217</v>
      </c>
      <c r="B6" s="87" t="s">
        <v>92</v>
      </c>
      <c r="C6" s="87" t="s">
        <v>218</v>
      </c>
    </row>
    <row r="7" ht="31" customHeight="1" spans="1:3">
      <c r="A7" s="87" t="s">
        <v>219</v>
      </c>
      <c r="B7" s="87" t="s">
        <v>220</v>
      </c>
      <c r="C7" s="87" t="s">
        <v>221</v>
      </c>
    </row>
    <row r="8" ht="50" customHeight="1" spans="1:3">
      <c r="A8" s="87" t="s">
        <v>222</v>
      </c>
      <c r="B8" s="87" t="s">
        <v>223</v>
      </c>
      <c r="C8" s="87" t="s">
        <v>224</v>
      </c>
    </row>
    <row r="9" ht="51" customHeight="1" spans="1:3">
      <c r="A9" s="87" t="s">
        <v>225</v>
      </c>
      <c r="B9" s="87" t="s">
        <v>95</v>
      </c>
      <c r="C9" s="87" t="s">
        <v>226</v>
      </c>
    </row>
    <row r="10" ht="65" customHeight="1" spans="1:3">
      <c r="A10" s="87" t="s">
        <v>227</v>
      </c>
      <c r="B10" s="87" t="s">
        <v>228</v>
      </c>
      <c r="C10" s="87" t="s">
        <v>229</v>
      </c>
    </row>
    <row r="11" ht="51" customHeight="1" spans="1:3">
      <c r="A11" s="87" t="s">
        <v>230</v>
      </c>
      <c r="B11" s="87" t="s">
        <v>231</v>
      </c>
      <c r="C11" s="87" t="s">
        <v>232</v>
      </c>
    </row>
    <row r="12" ht="49" customHeight="1" spans="1:3">
      <c r="A12" s="87" t="s">
        <v>233</v>
      </c>
      <c r="B12" s="87" t="s">
        <v>234</v>
      </c>
      <c r="C12" s="87" t="s">
        <v>235</v>
      </c>
    </row>
    <row r="13" ht="51" customHeight="1" spans="1:3">
      <c r="A13" s="87" t="s">
        <v>236</v>
      </c>
      <c r="B13" s="87" t="s">
        <v>237</v>
      </c>
      <c r="C13" s="87" t="s">
        <v>238</v>
      </c>
    </row>
    <row r="14" ht="54" customHeight="1" spans="1:3">
      <c r="A14" s="87" t="s">
        <v>239</v>
      </c>
      <c r="B14" s="87" t="s">
        <v>240</v>
      </c>
      <c r="C14" s="87" t="s">
        <v>241</v>
      </c>
    </row>
    <row r="15" ht="76.5" customHeight="1" spans="1:3">
      <c r="A15" s="87" t="s">
        <v>242</v>
      </c>
      <c r="B15" s="87" t="s">
        <v>243</v>
      </c>
      <c r="C15" s="87" t="s">
        <v>244</v>
      </c>
    </row>
    <row r="16" ht="73" customHeight="1" spans="1:3">
      <c r="A16" s="87" t="s">
        <v>245</v>
      </c>
      <c r="B16" s="87" t="s">
        <v>246</v>
      </c>
      <c r="C16" s="87" t="s">
        <v>247</v>
      </c>
    </row>
    <row r="17" s="72" customFormat="1" ht="53" customHeight="1" spans="1:8">
      <c r="A17" s="87" t="s">
        <v>248</v>
      </c>
      <c r="B17" s="87" t="s">
        <v>249</v>
      </c>
      <c r="C17" s="87" t="s">
        <v>250</v>
      </c>
      <c r="D17" s="76"/>
      <c r="E17" s="76"/>
      <c r="F17" s="76"/>
      <c r="G17" s="76"/>
      <c r="H17" s="76"/>
    </row>
    <row r="18" ht="51" customHeight="1" spans="1:3">
      <c r="A18" s="87" t="s">
        <v>251</v>
      </c>
      <c r="B18" s="87" t="s">
        <v>252</v>
      </c>
      <c r="C18" s="87" t="s">
        <v>253</v>
      </c>
    </row>
    <row r="19" s="73" customFormat="1" ht="33" spans="1:3">
      <c r="A19" s="87" t="s">
        <v>254</v>
      </c>
      <c r="B19" s="87" t="s">
        <v>255</v>
      </c>
      <c r="C19" s="87" t="s">
        <v>256</v>
      </c>
    </row>
    <row r="20" s="73" customFormat="1" ht="89.25" customHeight="1" spans="1:3">
      <c r="A20" s="87" t="s">
        <v>257</v>
      </c>
      <c r="B20" s="87" t="s">
        <v>258</v>
      </c>
      <c r="C20" s="87" t="s">
        <v>259</v>
      </c>
    </row>
    <row r="21" s="73" customFormat="1" ht="39" customHeight="1" spans="1:3">
      <c r="A21" s="88" t="s">
        <v>260</v>
      </c>
      <c r="B21" s="88" t="s">
        <v>261</v>
      </c>
      <c r="C21" s="88" t="s">
        <v>262</v>
      </c>
    </row>
    <row r="22" s="73" customFormat="1" ht="76.5" customHeight="1" spans="1:8">
      <c r="A22" s="77"/>
      <c r="B22" s="78"/>
      <c r="C22" s="78"/>
      <c r="D22" s="79"/>
      <c r="E22" s="78"/>
      <c r="F22" s="77"/>
      <c r="G22" s="80"/>
      <c r="H22" s="77"/>
    </row>
    <row r="23" s="73" customFormat="1" spans="1:8">
      <c r="A23" s="77"/>
      <c r="B23" s="78"/>
      <c r="C23" s="78"/>
      <c r="D23" s="79"/>
      <c r="E23" s="78"/>
      <c r="F23" s="77"/>
      <c r="G23" s="80"/>
      <c r="H23" s="77"/>
    </row>
    <row r="24" s="73" customFormat="1" spans="1:8">
      <c r="A24" s="77"/>
      <c r="B24" s="78"/>
      <c r="C24" s="78"/>
      <c r="D24" s="79"/>
      <c r="E24" s="78"/>
      <c r="F24" s="77"/>
      <c r="G24" s="80"/>
      <c r="H24" s="77"/>
    </row>
    <row r="25" s="73" customFormat="1" ht="89.25" customHeight="1" spans="1:8">
      <c r="A25" s="77"/>
      <c r="B25" s="78"/>
      <c r="C25" s="78"/>
      <c r="D25" s="79"/>
      <c r="E25" s="78"/>
      <c r="F25" s="77"/>
      <c r="G25" s="80"/>
      <c r="H25" s="77"/>
    </row>
    <row r="26" s="73" customFormat="1" spans="1:8">
      <c r="A26" s="77"/>
      <c r="B26" s="78"/>
      <c r="C26" s="78"/>
      <c r="D26" s="79"/>
      <c r="E26" s="78"/>
      <c r="F26" s="77"/>
      <c r="G26" s="80"/>
      <c r="H26" s="77"/>
    </row>
    <row r="27" s="73" customFormat="1" ht="76.5" customHeight="1" spans="1:8">
      <c r="A27" s="77"/>
      <c r="B27" s="78"/>
      <c r="C27" s="78"/>
      <c r="D27" s="79"/>
      <c r="E27" s="78"/>
      <c r="F27" s="77"/>
      <c r="G27" s="80"/>
      <c r="H27" s="77"/>
    </row>
    <row r="28" s="73" customFormat="1" spans="1:8">
      <c r="A28" s="77"/>
      <c r="B28" s="78"/>
      <c r="C28" s="78"/>
      <c r="D28" s="79"/>
      <c r="E28" s="78"/>
      <c r="F28" s="77"/>
      <c r="G28" s="80"/>
      <c r="H28" s="77"/>
    </row>
    <row r="29" s="73" customFormat="1" customHeight="1" spans="1:9">
      <c r="A29" s="77"/>
      <c r="B29" s="77"/>
      <c r="C29" s="77"/>
      <c r="D29" s="77"/>
      <c r="E29" s="77"/>
      <c r="F29" s="77"/>
      <c r="G29" s="77"/>
      <c r="H29" s="77"/>
      <c r="I29" s="77"/>
    </row>
    <row r="30" s="73" customFormat="1" spans="1:8">
      <c r="A30" s="77"/>
      <c r="B30" s="78"/>
      <c r="C30" s="78"/>
      <c r="D30" s="79"/>
      <c r="E30" s="78"/>
      <c r="F30" s="77"/>
      <c r="G30" s="80"/>
      <c r="H30" s="77"/>
    </row>
    <row r="31" s="73" customFormat="1" ht="51" customHeight="1" spans="1:8">
      <c r="A31" s="77"/>
      <c r="B31" s="78"/>
      <c r="C31" s="78"/>
      <c r="D31" s="79"/>
      <c r="E31" s="78"/>
      <c r="F31" s="77"/>
      <c r="G31" s="80"/>
      <c r="H31" s="77"/>
    </row>
    <row r="32" s="73" customFormat="1" spans="1:8">
      <c r="A32" s="77"/>
      <c r="B32" s="78"/>
      <c r="C32" s="78"/>
      <c r="D32" s="79"/>
      <c r="E32" s="78"/>
      <c r="F32" s="77"/>
      <c r="G32" s="80"/>
      <c r="H32" s="77"/>
    </row>
    <row r="33" s="73" customFormat="1" customHeight="1" spans="1:9">
      <c r="A33" s="81"/>
      <c r="B33" s="81"/>
      <c r="C33" s="81"/>
      <c r="D33" s="81"/>
      <c r="E33" s="81"/>
      <c r="F33" s="81"/>
      <c r="G33" s="81"/>
      <c r="H33" s="81"/>
      <c r="I33" s="81"/>
    </row>
    <row r="34" s="73" customFormat="1" spans="1:9">
      <c r="A34" s="77"/>
      <c r="B34" s="78"/>
      <c r="C34" s="78"/>
      <c r="D34" s="79"/>
      <c r="E34" s="78"/>
      <c r="F34" s="77"/>
      <c r="G34" s="80"/>
      <c r="H34" s="77"/>
      <c r="I34" s="81"/>
    </row>
    <row r="35" s="73" customFormat="1" ht="76.5" customHeight="1" spans="1:8">
      <c r="A35" s="77"/>
      <c r="B35" s="78"/>
      <c r="C35" s="78"/>
      <c r="D35" s="79"/>
      <c r="E35" s="78"/>
      <c r="F35" s="77"/>
      <c r="G35" s="80"/>
      <c r="H35" s="77"/>
    </row>
    <row r="36" s="73" customFormat="1" spans="1:8">
      <c r="A36" s="77"/>
      <c r="B36" s="78"/>
      <c r="C36" s="78"/>
      <c r="D36" s="79"/>
      <c r="E36" s="82"/>
      <c r="F36" s="77"/>
      <c r="G36" s="80"/>
      <c r="H36" s="77"/>
    </row>
    <row r="37" s="73" customFormat="1" spans="1:8">
      <c r="A37" s="77"/>
      <c r="B37" s="82"/>
      <c r="C37" s="78"/>
      <c r="D37" s="79"/>
      <c r="E37" s="78"/>
      <c r="F37" s="77"/>
      <c r="G37" s="80"/>
      <c r="H37" s="77"/>
    </row>
    <row r="38" s="73" customFormat="1" spans="1:8">
      <c r="A38" s="77"/>
      <c r="B38" s="82"/>
      <c r="C38" s="78"/>
      <c r="D38" s="79"/>
      <c r="E38" s="82"/>
      <c r="F38" s="77"/>
      <c r="G38" s="80"/>
      <c r="H38" s="77"/>
    </row>
    <row r="39" s="73" customFormat="1" spans="1:8">
      <c r="A39" s="77"/>
      <c r="B39" s="82"/>
      <c r="C39" s="78"/>
      <c r="D39" s="79"/>
      <c r="E39" s="82"/>
      <c r="F39" s="77"/>
      <c r="G39" s="80"/>
      <c r="H39" s="77"/>
    </row>
    <row r="40" s="73" customFormat="1" spans="1:8">
      <c r="A40" s="77"/>
      <c r="B40" s="82"/>
      <c r="C40" s="78"/>
      <c r="D40" s="79"/>
      <c r="E40" s="82"/>
      <c r="F40" s="77"/>
      <c r="G40" s="80"/>
      <c r="H40" s="77"/>
    </row>
    <row r="41" s="73" customFormat="1" ht="51" customHeight="1" spans="1:8">
      <c r="A41" s="77"/>
      <c r="B41" s="82"/>
      <c r="C41" s="78"/>
      <c r="D41" s="79"/>
      <c r="E41" s="82"/>
      <c r="F41" s="77"/>
      <c r="G41" s="80"/>
      <c r="H41" s="77"/>
    </row>
    <row r="42" s="73" customFormat="1" spans="1:8">
      <c r="A42" s="77"/>
      <c r="B42" s="82"/>
      <c r="C42" s="78"/>
      <c r="D42" s="79"/>
      <c r="E42" s="82"/>
      <c r="F42" s="77"/>
      <c r="G42" s="80"/>
      <c r="H42" s="77"/>
    </row>
    <row r="43" s="73" customFormat="1" spans="1:8">
      <c r="A43" s="77"/>
      <c r="B43" s="82"/>
      <c r="C43" s="78"/>
      <c r="D43" s="79"/>
      <c r="E43" s="82"/>
      <c r="F43" s="77"/>
      <c r="G43" s="80"/>
      <c r="H43" s="77"/>
    </row>
    <row r="44" s="73" customFormat="1" spans="1:8">
      <c r="A44" s="77"/>
      <c r="B44" s="82"/>
      <c r="C44" s="78"/>
      <c r="D44" s="79"/>
      <c r="E44" s="82"/>
      <c r="F44" s="77"/>
      <c r="G44" s="80"/>
      <c r="H44" s="77"/>
    </row>
    <row r="45" s="73" customFormat="1" spans="1:8">
      <c r="A45" s="77"/>
      <c r="B45" s="82"/>
      <c r="C45" s="78"/>
      <c r="D45" s="79"/>
      <c r="E45" s="82"/>
      <c r="F45" s="77"/>
      <c r="G45" s="80"/>
      <c r="H45" s="77"/>
    </row>
    <row r="46" s="73" customFormat="1" spans="1:8">
      <c r="A46" s="77"/>
      <c r="B46" s="82"/>
      <c r="C46" s="82"/>
      <c r="D46" s="79"/>
      <c r="E46" s="82"/>
      <c r="F46" s="77"/>
      <c r="G46" s="80"/>
      <c r="H46" s="77"/>
    </row>
    <row r="47" s="73" customFormat="1" spans="1:8">
      <c r="A47" s="77"/>
      <c r="C47" s="82"/>
      <c r="D47" s="79"/>
      <c r="E47" s="82"/>
      <c r="F47" s="77"/>
      <c r="G47" s="80"/>
      <c r="H47" s="77"/>
    </row>
    <row r="48" s="73" customFormat="1" spans="1:8">
      <c r="A48" s="77"/>
      <c r="B48" s="82"/>
      <c r="C48" s="82"/>
      <c r="D48" s="79"/>
      <c r="E48" s="82"/>
      <c r="F48" s="77"/>
      <c r="G48" s="80"/>
      <c r="H48" s="77"/>
    </row>
    <row r="49" s="73" customFormat="1" spans="1:9">
      <c r="A49" s="83"/>
      <c r="B49" s="83"/>
      <c r="C49" s="83"/>
      <c r="D49" s="83"/>
      <c r="E49" s="83"/>
      <c r="F49" s="83"/>
      <c r="G49" s="83"/>
      <c r="H49" s="83"/>
      <c r="I49" s="83"/>
    </row>
    <row r="50" s="73" customFormat="1" spans="1:9">
      <c r="A50" s="84"/>
      <c r="B50" s="82"/>
      <c r="C50" s="82"/>
      <c r="D50" s="79"/>
      <c r="E50" s="82"/>
      <c r="F50" s="84"/>
      <c r="G50" s="85"/>
      <c r="H50" s="77"/>
      <c r="I50" s="72"/>
    </row>
    <row r="51" s="73" customFormat="1" ht="99" customHeight="1" spans="1:9">
      <c r="A51" s="84"/>
      <c r="B51" s="82"/>
      <c r="C51" s="82"/>
      <c r="D51" s="79"/>
      <c r="E51" s="82"/>
      <c r="F51" s="84"/>
      <c r="G51" s="85"/>
      <c r="H51" s="77"/>
      <c r="I51" s="72"/>
    </row>
    <row r="52" s="73" customFormat="1" spans="1:9">
      <c r="A52" s="84"/>
      <c r="B52" s="82"/>
      <c r="C52" s="82"/>
      <c r="D52" s="79"/>
      <c r="E52" s="82"/>
      <c r="F52" s="84"/>
      <c r="G52" s="85"/>
      <c r="H52" s="77"/>
      <c r="I52" s="72"/>
    </row>
    <row r="53" s="73" customFormat="1" spans="1:9">
      <c r="A53" s="84"/>
      <c r="B53" s="82"/>
      <c r="C53" s="82"/>
      <c r="D53" s="79"/>
      <c r="E53" s="82"/>
      <c r="F53" s="84"/>
      <c r="G53" s="85"/>
      <c r="H53" s="77"/>
      <c r="I53" s="72"/>
    </row>
    <row r="54" s="73" customFormat="1" spans="1:9">
      <c r="A54" s="84"/>
      <c r="B54" s="82"/>
      <c r="C54" s="82"/>
      <c r="D54" s="79"/>
      <c r="E54" s="82"/>
      <c r="F54" s="84"/>
      <c r="G54" s="85"/>
      <c r="H54" s="77"/>
      <c r="I54" s="72"/>
    </row>
    <row r="55" s="73" customFormat="1" spans="1:9">
      <c r="A55" s="84"/>
      <c r="B55" s="82"/>
      <c r="C55" s="82"/>
      <c r="D55" s="79"/>
      <c r="E55" s="82"/>
      <c r="F55" s="84"/>
      <c r="G55" s="85"/>
      <c r="H55" s="77"/>
      <c r="I55" s="72"/>
    </row>
    <row r="56" s="73" customFormat="1" spans="1:9">
      <c r="A56" s="84"/>
      <c r="B56" s="82"/>
      <c r="C56" s="82"/>
      <c r="D56" s="79"/>
      <c r="E56" s="82"/>
      <c r="F56" s="84"/>
      <c r="G56" s="85"/>
      <c r="H56" s="77"/>
      <c r="I56" s="72"/>
    </row>
    <row r="57" s="73" customFormat="1" spans="1:9">
      <c r="A57" s="84"/>
      <c r="B57" s="82"/>
      <c r="C57" s="82"/>
      <c r="D57" s="79"/>
      <c r="E57" s="82"/>
      <c r="F57" s="84"/>
      <c r="G57" s="85"/>
      <c r="H57" s="77"/>
      <c r="I57" s="72"/>
    </row>
    <row r="58" s="73" customFormat="1" spans="1:9">
      <c r="A58" s="84"/>
      <c r="B58" s="82"/>
      <c r="C58" s="82"/>
      <c r="D58" s="79"/>
      <c r="E58" s="82"/>
      <c r="F58" s="84"/>
      <c r="G58" s="85"/>
      <c r="H58" s="77"/>
      <c r="I58" s="72"/>
    </row>
    <row r="59" s="73" customFormat="1" spans="1:9">
      <c r="A59" s="84"/>
      <c r="B59" s="82"/>
      <c r="C59" s="82"/>
      <c r="D59" s="79"/>
      <c r="E59" s="82"/>
      <c r="F59" s="84"/>
      <c r="G59" s="85"/>
      <c r="H59" s="77"/>
      <c r="I59" s="72"/>
    </row>
    <row r="60" s="73" customFormat="1" spans="1:9">
      <c r="A60" s="84"/>
      <c r="B60" s="82"/>
      <c r="C60" s="82"/>
      <c r="D60" s="79"/>
      <c r="E60" s="82"/>
      <c r="F60" s="84"/>
      <c r="G60" s="85"/>
      <c r="H60" s="77"/>
      <c r="I60" s="72"/>
    </row>
    <row r="61" s="73" customFormat="1" spans="1:9">
      <c r="A61" s="84"/>
      <c r="B61" s="82"/>
      <c r="C61" s="82"/>
      <c r="D61" s="82"/>
      <c r="E61" s="82"/>
      <c r="F61" s="84"/>
      <c r="G61" s="85"/>
      <c r="H61" s="77"/>
      <c r="I61" s="72"/>
    </row>
    <row r="62" s="73" customFormat="1" spans="1:5">
      <c r="A62" s="84"/>
      <c r="B62" s="82"/>
      <c r="C62" s="82"/>
      <c r="D62" s="82"/>
      <c r="E62" s="82"/>
    </row>
    <row r="63" s="73" customFormat="1" spans="1:5">
      <c r="A63" s="84"/>
      <c r="B63" s="82"/>
      <c r="C63" s="82"/>
      <c r="D63" s="82"/>
      <c r="E63" s="82"/>
    </row>
    <row r="64" s="73" customFormat="1" spans="1:5">
      <c r="A64" s="84"/>
      <c r="B64" s="82"/>
      <c r="C64" s="82"/>
      <c r="D64" s="82"/>
      <c r="E64" s="82"/>
    </row>
    <row r="65" s="73" customFormat="1" spans="1:5">
      <c r="A65" s="84"/>
      <c r="B65" s="82"/>
      <c r="C65" s="82"/>
      <c r="D65" s="82"/>
      <c r="E65" s="82"/>
    </row>
    <row r="66" spans="2:5">
      <c r="B66" s="86"/>
      <c r="C66" s="86"/>
      <c r="D66" s="86"/>
      <c r="E66" s="86"/>
    </row>
    <row r="67" spans="2:5">
      <c r="B67" s="86"/>
      <c r="C67" s="86"/>
      <c r="D67" s="86"/>
      <c r="E67" s="86"/>
    </row>
    <row r="68" spans="2:5">
      <c r="B68" s="86"/>
      <c r="C68" s="86"/>
      <c r="D68" s="86"/>
      <c r="E68" s="86"/>
    </row>
    <row r="69" spans="2:5">
      <c r="B69" s="86"/>
      <c r="C69" s="86"/>
      <c r="D69" s="86"/>
      <c r="E69" s="86"/>
    </row>
    <row r="70" spans="2:5">
      <c r="B70" s="86"/>
      <c r="C70" s="86"/>
      <c r="D70" s="86"/>
      <c r="E70" s="86"/>
    </row>
    <row r="71" spans="2:5">
      <c r="B71" s="86"/>
      <c r="C71" s="86"/>
      <c r="D71" s="86"/>
      <c r="E71" s="86"/>
    </row>
    <row r="72" spans="2:5">
      <c r="B72" s="86"/>
      <c r="C72" s="86"/>
      <c r="D72" s="86"/>
      <c r="E72" s="86"/>
    </row>
    <row r="73" spans="2:5">
      <c r="B73" s="86"/>
      <c r="C73" s="86"/>
      <c r="D73" s="86"/>
      <c r="E73" s="86"/>
    </row>
    <row r="74" spans="2:5">
      <c r="B74" s="86"/>
      <c r="C74" s="86"/>
      <c r="D74" s="86"/>
      <c r="E74" s="86"/>
    </row>
    <row r="75" spans="2:5">
      <c r="B75" s="86"/>
      <c r="C75" s="86"/>
      <c r="D75" s="86"/>
      <c r="E75" s="86"/>
    </row>
  </sheetData>
  <mergeCells count="3">
    <mergeCell ref="A29:I29"/>
    <mergeCell ref="A33:I33"/>
    <mergeCell ref="A49:I49"/>
  </mergeCells>
  <conditionalFormatting sqref="F31">
    <cfRule type="cellIs" dxfId="3" priority="12" operator="equal">
      <formula>"Pass"</formula>
    </cfRule>
    <cfRule type="cellIs" dxfId="2" priority="11" operator="equal">
      <formula>Fail</formula>
    </cfRule>
    <cfRule type="cellIs" dxfId="1" priority="10" operator="equal">
      <formula>"Fail"</formula>
    </cfRule>
    <cfRule type="cellIs" dxfId="0" priority="9" operator="equal">
      <formula>"N/A"</formula>
    </cfRule>
  </conditionalFormatting>
  <conditionalFormatting sqref="F34">
    <cfRule type="cellIs" dxfId="3" priority="8" operator="equal">
      <formula>"Pass"</formula>
    </cfRule>
    <cfRule type="cellIs" dxfId="2" priority="7" operator="equal">
      <formula>Fail</formula>
    </cfRule>
    <cfRule type="cellIs" dxfId="1" priority="6" operator="equal">
      <formula>"Fail"</formula>
    </cfRule>
    <cfRule type="cellIs" dxfId="0" priority="5" operator="equal">
      <formula>"N/A"</formula>
    </cfRule>
  </conditionalFormatting>
  <conditionalFormatting sqref="F50:F61">
    <cfRule type="cellIs" dxfId="3" priority="4" operator="equal">
      <formula>"Pass"</formula>
    </cfRule>
    <cfRule type="cellIs" dxfId="2" priority="3" operator="equal">
      <formula>Fail</formula>
    </cfRule>
    <cfRule type="cellIs" dxfId="1" priority="2" operator="equal">
      <formula>"Fail"</formula>
    </cfRule>
    <cfRule type="cellIs" dxfId="0" priority="1" operator="equal">
      <formula>"N/A"</formula>
    </cfRule>
  </conditionalFormatting>
  <conditionalFormatting sqref="F22:F28 F35:F48 F30 F32">
    <cfRule type="cellIs" dxfId="3" priority="16" operator="equal">
      <formula>"Pass"</formula>
    </cfRule>
    <cfRule type="cellIs" dxfId="2" priority="15" operator="equal">
      <formula>Fail</formula>
    </cfRule>
    <cfRule type="cellIs" dxfId="1" priority="14" operator="equal">
      <formula>"Fail"</formula>
    </cfRule>
    <cfRule type="cellIs" dxfId="0" priority="13" operator="equal">
      <formula>"N/A"</formula>
    </cfRule>
  </conditionalFormatting>
  <dataValidations count="1">
    <dataValidation type="list" allowBlank="1" showErrorMessage="1" sqref="E17 F22:F48 F50:F61">
      <formula1>"Pass,Fail,N/A,Untested"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"/>
  <sheetViews>
    <sheetView zoomScale="70" zoomScaleNormal="70" topLeftCell="A15" workbookViewId="0">
      <selection activeCell="C14" sqref="C14"/>
    </sheetView>
  </sheetViews>
  <sheetFormatPr defaultColWidth="9.14285714285714" defaultRowHeight="15"/>
  <cols>
    <col min="1" max="1" width="25.0952380952381" customWidth="1"/>
    <col min="2" max="2" width="22.8571428571429" customWidth="1"/>
    <col min="3" max="3" width="57.1428571428571" customWidth="1"/>
    <col min="4" max="4" width="26.2857142857143" customWidth="1"/>
    <col min="5" max="5" width="24.1428571428571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3">
      <c r="A1" s="74" t="s">
        <v>0</v>
      </c>
      <c r="B1" s="74" t="s">
        <v>1</v>
      </c>
      <c r="C1" s="74" t="s">
        <v>2</v>
      </c>
    </row>
    <row r="2" ht="45" customHeight="1" spans="1:3">
      <c r="A2" s="87" t="s">
        <v>263</v>
      </c>
      <c r="B2" s="87" t="s">
        <v>264</v>
      </c>
      <c r="C2" s="87" t="s">
        <v>265</v>
      </c>
    </row>
    <row r="3" ht="40" customHeight="1" spans="1:3">
      <c r="A3" s="87" t="s">
        <v>266</v>
      </c>
      <c r="B3" s="87" t="s">
        <v>267</v>
      </c>
      <c r="C3" s="87" t="s">
        <v>268</v>
      </c>
    </row>
    <row r="4" ht="51" customHeight="1" spans="1:3">
      <c r="A4" s="87" t="s">
        <v>269</v>
      </c>
      <c r="B4" s="87" t="s">
        <v>270</v>
      </c>
      <c r="C4" s="87" t="s">
        <v>271</v>
      </c>
    </row>
    <row r="5" ht="52" customHeight="1" spans="1:3">
      <c r="A5" s="87" t="s">
        <v>272</v>
      </c>
      <c r="B5" s="87" t="s">
        <v>273</v>
      </c>
      <c r="C5" s="87" t="s">
        <v>274</v>
      </c>
    </row>
    <row r="6" ht="31" customHeight="1" spans="1:3">
      <c r="A6" s="87" t="s">
        <v>275</v>
      </c>
      <c r="B6" s="87" t="s">
        <v>276</v>
      </c>
      <c r="C6" s="87" t="s">
        <v>277</v>
      </c>
    </row>
    <row r="7" ht="50" customHeight="1" spans="1:3">
      <c r="A7" s="87" t="s">
        <v>278</v>
      </c>
      <c r="B7" s="87" t="s">
        <v>279</v>
      </c>
      <c r="C7" s="87" t="s">
        <v>280</v>
      </c>
    </row>
    <row r="8" ht="51" customHeight="1" spans="1:3">
      <c r="A8" s="87" t="s">
        <v>281</v>
      </c>
      <c r="B8" s="87" t="s">
        <v>16</v>
      </c>
      <c r="C8" s="87" t="s">
        <v>282</v>
      </c>
    </row>
    <row r="9" ht="65" customHeight="1" spans="1:3">
      <c r="A9" s="87" t="s">
        <v>283</v>
      </c>
      <c r="B9" s="87" t="s">
        <v>284</v>
      </c>
      <c r="C9" s="87" t="s">
        <v>285</v>
      </c>
    </row>
    <row r="10" ht="51" customHeight="1" spans="1:3">
      <c r="A10" s="87" t="s">
        <v>286</v>
      </c>
      <c r="B10" s="87" t="s">
        <v>287</v>
      </c>
      <c r="C10" s="87" t="s">
        <v>288</v>
      </c>
    </row>
    <row r="11" ht="49" customHeight="1" spans="1:3">
      <c r="A11" s="87" t="s">
        <v>289</v>
      </c>
      <c r="B11" s="87" t="s">
        <v>290</v>
      </c>
      <c r="C11" s="87" t="s">
        <v>291</v>
      </c>
    </row>
    <row r="12" ht="51" customHeight="1" spans="1:3">
      <c r="A12" s="87" t="s">
        <v>292</v>
      </c>
      <c r="B12" s="87" t="s">
        <v>293</v>
      </c>
      <c r="C12" s="87" t="s">
        <v>294</v>
      </c>
    </row>
    <row r="13" ht="54" customHeight="1" spans="1:3">
      <c r="A13" s="87" t="s">
        <v>295</v>
      </c>
      <c r="B13" s="87" t="s">
        <v>31</v>
      </c>
      <c r="C13" s="87" t="s">
        <v>296</v>
      </c>
    </row>
    <row r="14" ht="76.5" customHeight="1" spans="1:3">
      <c r="A14" s="87" t="s">
        <v>297</v>
      </c>
      <c r="B14" s="87" t="s">
        <v>243</v>
      </c>
      <c r="C14" s="87" t="s">
        <v>244</v>
      </c>
    </row>
    <row r="15" ht="73" customHeight="1" spans="1:3">
      <c r="A15" s="87" t="s">
        <v>298</v>
      </c>
      <c r="B15" s="87" t="s">
        <v>246</v>
      </c>
      <c r="C15" s="87" t="s">
        <v>247</v>
      </c>
    </row>
    <row r="16" s="72" customFormat="1" ht="53" customHeight="1" spans="1:8">
      <c r="A16" s="87" t="s">
        <v>299</v>
      </c>
      <c r="B16" s="87" t="s">
        <v>249</v>
      </c>
      <c r="C16" s="87" t="s">
        <v>250</v>
      </c>
      <c r="D16" s="76"/>
      <c r="E16" s="76"/>
      <c r="F16" s="76"/>
      <c r="G16" s="76"/>
      <c r="H16" s="76"/>
    </row>
    <row r="17" ht="51" customHeight="1" spans="1:3">
      <c r="A17" s="87" t="s">
        <v>300</v>
      </c>
      <c r="B17" s="87" t="s">
        <v>252</v>
      </c>
      <c r="C17" s="87" t="s">
        <v>253</v>
      </c>
    </row>
    <row r="18" s="73" customFormat="1" ht="53" customHeight="1" spans="1:3">
      <c r="A18" s="87" t="s">
        <v>301</v>
      </c>
      <c r="B18" s="87" t="s">
        <v>255</v>
      </c>
      <c r="C18" s="87" t="s">
        <v>256</v>
      </c>
    </row>
    <row r="19" s="73" customFormat="1" ht="89.25" customHeight="1" spans="1:3">
      <c r="A19" s="87" t="s">
        <v>302</v>
      </c>
      <c r="B19" s="87" t="s">
        <v>258</v>
      </c>
      <c r="C19" s="87" t="s">
        <v>259</v>
      </c>
    </row>
    <row r="20" s="73" customFormat="1" ht="39" customHeight="1" spans="1:3">
      <c r="A20" s="87" t="s">
        <v>303</v>
      </c>
      <c r="B20" s="88" t="s">
        <v>261</v>
      </c>
      <c r="C20" s="88" t="s">
        <v>262</v>
      </c>
    </row>
    <row r="21" s="73" customFormat="1" ht="76.5" customHeight="1" spans="1:8">
      <c r="A21" s="77"/>
      <c r="B21" s="78"/>
      <c r="C21" s="78"/>
      <c r="D21" s="79"/>
      <c r="E21" s="78"/>
      <c r="F21" s="77"/>
      <c r="G21" s="80"/>
      <c r="H21" s="77"/>
    </row>
    <row r="22" s="73" customFormat="1" spans="1:8">
      <c r="A22" s="77"/>
      <c r="B22" s="78"/>
      <c r="C22" s="78"/>
      <c r="D22" s="79"/>
      <c r="E22" s="78"/>
      <c r="F22" s="77"/>
      <c r="G22" s="80"/>
      <c r="H22" s="77"/>
    </row>
    <row r="23" s="73" customFormat="1" spans="1:8">
      <c r="A23" s="77"/>
      <c r="B23" s="78"/>
      <c r="C23" s="78"/>
      <c r="D23" s="79"/>
      <c r="E23" s="78"/>
      <c r="F23" s="77"/>
      <c r="G23" s="80"/>
      <c r="H23" s="77"/>
    </row>
    <row r="24" s="73" customFormat="1" ht="89.25" customHeight="1" spans="1:8">
      <c r="A24" s="77"/>
      <c r="B24" s="78"/>
      <c r="C24" s="78"/>
      <c r="D24" s="79"/>
      <c r="E24" s="78"/>
      <c r="F24" s="77"/>
      <c r="G24" s="80"/>
      <c r="H24" s="77"/>
    </row>
    <row r="25" s="73" customFormat="1" spans="1:8">
      <c r="A25" s="77"/>
      <c r="B25" s="78"/>
      <c r="C25" s="78"/>
      <c r="D25" s="79"/>
      <c r="E25" s="78"/>
      <c r="F25" s="77"/>
      <c r="G25" s="80"/>
      <c r="H25" s="77"/>
    </row>
    <row r="26" s="73" customFormat="1" ht="76.5" customHeight="1" spans="1:8">
      <c r="A26" s="77"/>
      <c r="B26" s="78"/>
      <c r="C26" s="78"/>
      <c r="D26" s="79"/>
      <c r="E26" s="78"/>
      <c r="F26" s="77"/>
      <c r="G26" s="80"/>
      <c r="H26" s="77"/>
    </row>
    <row r="27" s="73" customFormat="1" spans="1:8">
      <c r="A27" s="77"/>
      <c r="B27" s="78"/>
      <c r="C27" s="78"/>
      <c r="D27" s="79"/>
      <c r="E27" s="78"/>
      <c r="F27" s="77"/>
      <c r="G27" s="80"/>
      <c r="H27" s="77"/>
    </row>
    <row r="28" s="73" customFormat="1" customHeight="1" spans="1:9">
      <c r="A28" s="77"/>
      <c r="B28" s="77"/>
      <c r="C28" s="77"/>
      <c r="D28" s="77"/>
      <c r="E28" s="77"/>
      <c r="F28" s="77"/>
      <c r="G28" s="77"/>
      <c r="H28" s="77"/>
      <c r="I28" s="77"/>
    </row>
    <row r="29" s="73" customFormat="1" spans="1:8">
      <c r="A29" s="77"/>
      <c r="B29" s="78"/>
      <c r="C29" s="78"/>
      <c r="D29" s="79"/>
      <c r="E29" s="78"/>
      <c r="F29" s="77"/>
      <c r="G29" s="80"/>
      <c r="H29" s="77"/>
    </row>
    <row r="30" s="73" customFormat="1" ht="51" customHeight="1" spans="1:8">
      <c r="A30" s="77"/>
      <c r="B30" s="78"/>
      <c r="C30" s="78"/>
      <c r="D30" s="79"/>
      <c r="E30" s="78"/>
      <c r="F30" s="77"/>
      <c r="G30" s="80"/>
      <c r="H30" s="77"/>
    </row>
    <row r="31" s="73" customFormat="1" spans="1:8">
      <c r="A31" s="77"/>
      <c r="B31" s="78"/>
      <c r="C31" s="78"/>
      <c r="D31" s="79"/>
      <c r="E31" s="78"/>
      <c r="F31" s="77"/>
      <c r="G31" s="80"/>
      <c r="H31" s="77"/>
    </row>
    <row r="32" s="73" customFormat="1" customHeight="1" spans="1:9">
      <c r="A32" s="81"/>
      <c r="B32" s="81"/>
      <c r="C32" s="81"/>
      <c r="D32" s="81"/>
      <c r="E32" s="81"/>
      <c r="F32" s="81"/>
      <c r="G32" s="81"/>
      <c r="H32" s="81"/>
      <c r="I32" s="81"/>
    </row>
    <row r="33" s="73" customFormat="1" spans="1:9">
      <c r="A33" s="77"/>
      <c r="B33" s="78"/>
      <c r="C33" s="78"/>
      <c r="D33" s="79"/>
      <c r="E33" s="78"/>
      <c r="F33" s="77"/>
      <c r="G33" s="80"/>
      <c r="H33" s="77"/>
      <c r="I33" s="81"/>
    </row>
    <row r="34" s="73" customFormat="1" ht="76.5" customHeight="1" spans="1:8">
      <c r="A34" s="77"/>
      <c r="B34" s="78"/>
      <c r="C34" s="78"/>
      <c r="D34" s="79"/>
      <c r="E34" s="78"/>
      <c r="F34" s="77"/>
      <c r="G34" s="80"/>
      <c r="H34" s="77"/>
    </row>
    <row r="35" s="73" customFormat="1" spans="1:8">
      <c r="A35" s="77"/>
      <c r="B35" s="78"/>
      <c r="C35" s="78"/>
      <c r="D35" s="79"/>
      <c r="E35" s="82"/>
      <c r="F35" s="77"/>
      <c r="G35" s="80"/>
      <c r="H35" s="77"/>
    </row>
    <row r="36" s="73" customFormat="1" spans="1:8">
      <c r="A36" s="77"/>
      <c r="B36" s="82"/>
      <c r="C36" s="78"/>
      <c r="D36" s="79"/>
      <c r="E36" s="78"/>
      <c r="F36" s="77"/>
      <c r="G36" s="80"/>
      <c r="H36" s="77"/>
    </row>
    <row r="37" s="73" customFormat="1" spans="1:8">
      <c r="A37" s="77"/>
      <c r="B37" s="82"/>
      <c r="C37" s="78"/>
      <c r="D37" s="79"/>
      <c r="E37" s="82"/>
      <c r="F37" s="77"/>
      <c r="G37" s="80"/>
      <c r="H37" s="77"/>
    </row>
    <row r="38" s="73" customFormat="1" spans="1:8">
      <c r="A38" s="77"/>
      <c r="B38" s="82"/>
      <c r="C38" s="78"/>
      <c r="D38" s="79"/>
      <c r="E38" s="82"/>
      <c r="F38" s="77"/>
      <c r="G38" s="80"/>
      <c r="H38" s="77"/>
    </row>
    <row r="39" s="73" customFormat="1" spans="1:8">
      <c r="A39" s="77"/>
      <c r="B39" s="82"/>
      <c r="C39" s="78"/>
      <c r="D39" s="79"/>
      <c r="E39" s="82"/>
      <c r="F39" s="77"/>
      <c r="G39" s="80"/>
      <c r="H39" s="77"/>
    </row>
    <row r="40" s="73" customFormat="1" ht="51" customHeight="1" spans="1:8">
      <c r="A40" s="77"/>
      <c r="B40" s="82"/>
      <c r="C40" s="78"/>
      <c r="D40" s="79"/>
      <c r="E40" s="82"/>
      <c r="F40" s="77"/>
      <c r="G40" s="80"/>
      <c r="H40" s="77"/>
    </row>
    <row r="41" s="73" customFormat="1" spans="1:8">
      <c r="A41" s="77"/>
      <c r="B41" s="82"/>
      <c r="C41" s="78"/>
      <c r="D41" s="79"/>
      <c r="E41" s="82"/>
      <c r="F41" s="77"/>
      <c r="G41" s="80"/>
      <c r="H41" s="77"/>
    </row>
    <row r="42" s="73" customFormat="1" spans="1:8">
      <c r="A42" s="77"/>
      <c r="B42" s="82"/>
      <c r="C42" s="78"/>
      <c r="D42" s="79"/>
      <c r="E42" s="82"/>
      <c r="F42" s="77"/>
      <c r="G42" s="80"/>
      <c r="H42" s="77"/>
    </row>
    <row r="43" s="73" customFormat="1" spans="1:8">
      <c r="A43" s="77"/>
      <c r="B43" s="82"/>
      <c r="C43" s="78"/>
      <c r="D43" s="79"/>
      <c r="E43" s="82"/>
      <c r="F43" s="77"/>
      <c r="G43" s="80"/>
      <c r="H43" s="77"/>
    </row>
    <row r="44" s="73" customFormat="1" spans="1:8">
      <c r="A44" s="77"/>
      <c r="B44" s="82"/>
      <c r="C44" s="78"/>
      <c r="D44" s="79"/>
      <c r="E44" s="82"/>
      <c r="F44" s="77"/>
      <c r="G44" s="80"/>
      <c r="H44" s="77"/>
    </row>
    <row r="45" s="73" customFormat="1" spans="1:8">
      <c r="A45" s="77"/>
      <c r="B45" s="82"/>
      <c r="C45" s="82"/>
      <c r="D45" s="79"/>
      <c r="E45" s="82"/>
      <c r="F45" s="77"/>
      <c r="G45" s="80"/>
      <c r="H45" s="77"/>
    </row>
    <row r="46" s="73" customFormat="1" spans="1:8">
      <c r="A46" s="77"/>
      <c r="C46" s="82"/>
      <c r="D46" s="79"/>
      <c r="E46" s="82"/>
      <c r="F46" s="77"/>
      <c r="G46" s="80"/>
      <c r="H46" s="77"/>
    </row>
    <row r="47" s="73" customFormat="1" spans="1:8">
      <c r="A47" s="77"/>
      <c r="B47" s="82"/>
      <c r="C47" s="82"/>
      <c r="D47" s="79"/>
      <c r="E47" s="82"/>
      <c r="F47" s="77"/>
      <c r="G47" s="80"/>
      <c r="H47" s="77"/>
    </row>
    <row r="48" s="73" customFormat="1" spans="1:9">
      <c r="A48" s="83"/>
      <c r="B48" s="83"/>
      <c r="C48" s="83"/>
      <c r="D48" s="83"/>
      <c r="E48" s="83"/>
      <c r="F48" s="83"/>
      <c r="G48" s="83"/>
      <c r="H48" s="83"/>
      <c r="I48" s="83"/>
    </row>
    <row r="49" s="73" customFormat="1" spans="1:9">
      <c r="A49" s="84"/>
      <c r="B49" s="82"/>
      <c r="C49" s="82"/>
      <c r="D49" s="79"/>
      <c r="E49" s="82"/>
      <c r="F49" s="84"/>
      <c r="G49" s="85"/>
      <c r="H49" s="77"/>
      <c r="I49" s="72"/>
    </row>
    <row r="50" s="73" customFormat="1" ht="99" customHeight="1" spans="1:9">
      <c r="A50" s="84"/>
      <c r="B50" s="82"/>
      <c r="C50" s="82"/>
      <c r="D50" s="79"/>
      <c r="E50" s="82"/>
      <c r="F50" s="84"/>
      <c r="G50" s="85"/>
      <c r="H50" s="77"/>
      <c r="I50" s="72"/>
    </row>
    <row r="51" s="73" customFormat="1" spans="1:9">
      <c r="A51" s="84"/>
      <c r="B51" s="82"/>
      <c r="C51" s="82"/>
      <c r="D51" s="79"/>
      <c r="E51" s="82"/>
      <c r="F51" s="84"/>
      <c r="G51" s="85"/>
      <c r="H51" s="77"/>
      <c r="I51" s="72"/>
    </row>
    <row r="52" s="73" customFormat="1" spans="1:9">
      <c r="A52" s="84"/>
      <c r="B52" s="82"/>
      <c r="C52" s="82"/>
      <c r="D52" s="79"/>
      <c r="E52" s="82"/>
      <c r="F52" s="84"/>
      <c r="G52" s="85"/>
      <c r="H52" s="77"/>
      <c r="I52" s="72"/>
    </row>
    <row r="53" s="73" customFormat="1" spans="1:9">
      <c r="A53" s="84"/>
      <c r="B53" s="82"/>
      <c r="C53" s="82"/>
      <c r="D53" s="79"/>
      <c r="E53" s="82"/>
      <c r="F53" s="84"/>
      <c r="G53" s="85"/>
      <c r="H53" s="77"/>
      <c r="I53" s="72"/>
    </row>
    <row r="54" s="73" customFormat="1" spans="1:9">
      <c r="A54" s="84"/>
      <c r="B54" s="82"/>
      <c r="C54" s="82"/>
      <c r="D54" s="79"/>
      <c r="E54" s="82"/>
      <c r="F54" s="84"/>
      <c r="G54" s="85"/>
      <c r="H54" s="77"/>
      <c r="I54" s="72"/>
    </row>
    <row r="55" s="73" customFormat="1" spans="1:9">
      <c r="A55" s="84"/>
      <c r="B55" s="82"/>
      <c r="C55" s="82"/>
      <c r="D55" s="79"/>
      <c r="E55" s="82"/>
      <c r="F55" s="84"/>
      <c r="G55" s="85"/>
      <c r="H55" s="77"/>
      <c r="I55" s="72"/>
    </row>
    <row r="56" s="73" customFormat="1" spans="1:9">
      <c r="A56" s="84"/>
      <c r="B56" s="82"/>
      <c r="C56" s="82"/>
      <c r="D56" s="79"/>
      <c r="E56" s="82"/>
      <c r="F56" s="84"/>
      <c r="G56" s="85"/>
      <c r="H56" s="77"/>
      <c r="I56" s="72"/>
    </row>
    <row r="57" s="73" customFormat="1" spans="1:9">
      <c r="A57" s="84"/>
      <c r="B57" s="82"/>
      <c r="C57" s="82"/>
      <c r="D57" s="79"/>
      <c r="E57" s="82"/>
      <c r="F57" s="84"/>
      <c r="G57" s="85"/>
      <c r="H57" s="77"/>
      <c r="I57" s="72"/>
    </row>
    <row r="58" s="73" customFormat="1" spans="1:9">
      <c r="A58" s="84"/>
      <c r="B58" s="82"/>
      <c r="C58" s="82"/>
      <c r="D58" s="79"/>
      <c r="E58" s="82"/>
      <c r="F58" s="84"/>
      <c r="G58" s="85"/>
      <c r="H58" s="77"/>
      <c r="I58" s="72"/>
    </row>
    <row r="59" s="73" customFormat="1" spans="1:9">
      <c r="A59" s="84"/>
      <c r="B59" s="82"/>
      <c r="C59" s="82"/>
      <c r="D59" s="79"/>
      <c r="E59" s="82"/>
      <c r="F59" s="84"/>
      <c r="G59" s="85"/>
      <c r="H59" s="77"/>
      <c r="I59" s="72"/>
    </row>
    <row r="60" s="73" customFormat="1" spans="1:9">
      <c r="A60" s="84"/>
      <c r="B60" s="82"/>
      <c r="C60" s="82"/>
      <c r="D60" s="82"/>
      <c r="E60" s="82"/>
      <c r="F60" s="84"/>
      <c r="G60" s="85"/>
      <c r="H60" s="77"/>
      <c r="I60" s="72"/>
    </row>
    <row r="61" s="73" customFormat="1" spans="1:5">
      <c r="A61" s="84"/>
      <c r="B61" s="82"/>
      <c r="C61" s="82"/>
      <c r="D61" s="82"/>
      <c r="E61" s="82"/>
    </row>
    <row r="62" s="73" customFormat="1" spans="1:5">
      <c r="A62" s="84"/>
      <c r="B62" s="82"/>
      <c r="C62" s="82"/>
      <c r="D62" s="82"/>
      <c r="E62" s="82"/>
    </row>
    <row r="63" s="73" customFormat="1" spans="1:5">
      <c r="A63" s="84"/>
      <c r="B63" s="82"/>
      <c r="C63" s="82"/>
      <c r="D63" s="82"/>
      <c r="E63" s="82"/>
    </row>
    <row r="64" s="73" customFormat="1" spans="1:5">
      <c r="A64" s="84"/>
      <c r="B64" s="82"/>
      <c r="C64" s="82"/>
      <c r="D64" s="82"/>
      <c r="E64" s="82"/>
    </row>
    <row r="65" spans="2:5">
      <c r="B65" s="86"/>
      <c r="C65" s="86"/>
      <c r="D65" s="86"/>
      <c r="E65" s="86"/>
    </row>
    <row r="66" spans="2:5">
      <c r="B66" s="86"/>
      <c r="C66" s="86"/>
      <c r="D66" s="86"/>
      <c r="E66" s="86"/>
    </row>
    <row r="67" spans="2:5">
      <c r="B67" s="86"/>
      <c r="C67" s="86"/>
      <c r="D67" s="86"/>
      <c r="E67" s="86"/>
    </row>
    <row r="68" spans="2:5">
      <c r="B68" s="86"/>
      <c r="C68" s="86"/>
      <c r="D68" s="86"/>
      <c r="E68" s="86"/>
    </row>
    <row r="69" spans="2:5">
      <c r="B69" s="86"/>
      <c r="C69" s="86"/>
      <c r="D69" s="86"/>
      <c r="E69" s="86"/>
    </row>
    <row r="70" spans="2:5">
      <c r="B70" s="86"/>
      <c r="C70" s="86"/>
      <c r="D70" s="86"/>
      <c r="E70" s="86"/>
    </row>
    <row r="71" spans="2:5">
      <c r="B71" s="86"/>
      <c r="C71" s="86"/>
      <c r="D71" s="86"/>
      <c r="E71" s="86"/>
    </row>
    <row r="72" spans="2:5">
      <c r="B72" s="86"/>
      <c r="C72" s="86"/>
      <c r="D72" s="86"/>
      <c r="E72" s="86"/>
    </row>
    <row r="73" spans="2:5">
      <c r="B73" s="86"/>
      <c r="C73" s="86"/>
      <c r="D73" s="86"/>
      <c r="E73" s="86"/>
    </row>
    <row r="74" spans="2:5">
      <c r="B74" s="86"/>
      <c r="C74" s="86"/>
      <c r="D74" s="86"/>
      <c r="E74" s="86"/>
    </row>
  </sheetData>
  <mergeCells count="3">
    <mergeCell ref="A28:I28"/>
    <mergeCell ref="A32:I32"/>
    <mergeCell ref="A48:I48"/>
  </mergeCells>
  <conditionalFormatting sqref="F30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33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49:F60">
    <cfRule type="cellIs" dxfId="0" priority="1" operator="equal">
      <formula>"N/A"</formula>
    </cfRule>
    <cfRule type="cellIs" dxfId="1" priority="2" operator="equal">
      <formula>"Fail"</formula>
    </cfRule>
    <cfRule type="cellIs" dxfId="2" priority="3" operator="equal">
      <formula>Fail</formula>
    </cfRule>
    <cfRule type="cellIs" dxfId="3" priority="4" operator="equal">
      <formula>"Pass"</formula>
    </cfRule>
  </conditionalFormatting>
  <conditionalFormatting sqref="F21:F27 F31 F29 F34:F47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dataValidations count="1">
    <dataValidation type="list" allowBlank="1" showErrorMessage="1" sqref="E16 F21:F47 F49:F60">
      <formula1>"Pass,Fail,N/A,Untested"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zoomScale="70" zoomScaleNormal="70" workbookViewId="0">
      <selection activeCell="D10" sqref="D10"/>
    </sheetView>
  </sheetViews>
  <sheetFormatPr defaultColWidth="9.14285714285714" defaultRowHeight="15"/>
  <cols>
    <col min="1" max="1" width="25.0952380952381" customWidth="1"/>
    <col min="2" max="2" width="22.8571428571429" customWidth="1"/>
    <col min="3" max="3" width="57.1428571428571" customWidth="1"/>
    <col min="4" max="4" width="26.2857142857143" customWidth="1"/>
    <col min="5" max="5" width="24.1428571428571" customWidth="1"/>
    <col min="6" max="6" width="25" customWidth="1"/>
    <col min="7" max="7" width="19.4285714285714" customWidth="1"/>
    <col min="8" max="8" width="15.5714285714286" customWidth="1"/>
    <col min="10" max="10" width="19" customWidth="1"/>
  </cols>
  <sheetData>
    <row r="1" customHeight="1" spans="1:3">
      <c r="A1" s="74" t="s">
        <v>0</v>
      </c>
      <c r="B1" s="74" t="s">
        <v>1</v>
      </c>
      <c r="C1" s="74" t="s">
        <v>2</v>
      </c>
    </row>
    <row r="2" ht="40" customHeight="1" spans="1:3">
      <c r="A2" s="75" t="s">
        <v>304</v>
      </c>
      <c r="B2" s="75" t="s">
        <v>4</v>
      </c>
      <c r="C2" s="75" t="s">
        <v>305</v>
      </c>
    </row>
    <row r="3" ht="51" customHeight="1" spans="1:3">
      <c r="A3" s="75" t="s">
        <v>306</v>
      </c>
      <c r="B3" s="75" t="s">
        <v>307</v>
      </c>
      <c r="C3" s="75" t="s">
        <v>308</v>
      </c>
    </row>
    <row r="4" ht="52" customHeight="1" spans="1:3">
      <c r="A4" s="75" t="s">
        <v>309</v>
      </c>
      <c r="B4" s="75" t="s">
        <v>310</v>
      </c>
      <c r="C4" s="75" t="s">
        <v>311</v>
      </c>
    </row>
    <row r="5" ht="31" customHeight="1" spans="1:3">
      <c r="A5" s="75" t="s">
        <v>312</v>
      </c>
      <c r="B5" s="75" t="s">
        <v>313</v>
      </c>
      <c r="C5" s="75" t="s">
        <v>314</v>
      </c>
    </row>
    <row r="6" ht="50" customHeight="1" spans="1:3">
      <c r="A6" s="75" t="s">
        <v>315</v>
      </c>
      <c r="B6" s="75" t="s">
        <v>316</v>
      </c>
      <c r="C6" s="75" t="s">
        <v>317</v>
      </c>
    </row>
    <row r="7" ht="51" customHeight="1" spans="1:3">
      <c r="A7" s="75" t="s">
        <v>318</v>
      </c>
      <c r="B7" s="75" t="s">
        <v>319</v>
      </c>
      <c r="C7" s="75" t="s">
        <v>320</v>
      </c>
    </row>
    <row r="8" ht="65" customHeight="1" spans="1:3">
      <c r="A8" s="75" t="s">
        <v>321</v>
      </c>
      <c r="B8" s="75" t="s">
        <v>322</v>
      </c>
      <c r="C8" s="75" t="s">
        <v>323</v>
      </c>
    </row>
    <row r="9" ht="51" customHeight="1" spans="1:3">
      <c r="A9" s="75" t="s">
        <v>324</v>
      </c>
      <c r="B9" s="75" t="s">
        <v>325</v>
      </c>
      <c r="C9" s="75" t="s">
        <v>326</v>
      </c>
    </row>
    <row r="10" ht="49" customHeight="1" spans="1:3">
      <c r="A10" s="75" t="s">
        <v>327</v>
      </c>
      <c r="B10" s="75" t="s">
        <v>328</v>
      </c>
      <c r="C10" s="75" t="s">
        <v>329</v>
      </c>
    </row>
    <row r="11" ht="51" customHeight="1" spans="1:3">
      <c r="A11" s="75" t="s">
        <v>330</v>
      </c>
      <c r="B11" s="75" t="s">
        <v>331</v>
      </c>
      <c r="C11" s="75" t="s">
        <v>332</v>
      </c>
    </row>
    <row r="12" ht="54" customHeight="1" spans="1:3">
      <c r="A12" s="75" t="s">
        <v>333</v>
      </c>
      <c r="B12" s="75" t="s">
        <v>334</v>
      </c>
      <c r="C12" s="75" t="s">
        <v>335</v>
      </c>
    </row>
    <row r="13" ht="76.5" customHeight="1" spans="1:3">
      <c r="A13" s="75" t="s">
        <v>336</v>
      </c>
      <c r="B13" s="75" t="s">
        <v>337</v>
      </c>
      <c r="C13" s="75" t="s">
        <v>338</v>
      </c>
    </row>
    <row r="14" ht="73" customHeight="1" spans="1:3">
      <c r="A14" s="75" t="s">
        <v>339</v>
      </c>
      <c r="B14" s="75" t="s">
        <v>340</v>
      </c>
      <c r="C14" s="75" t="s">
        <v>341</v>
      </c>
    </row>
    <row r="15" s="72" customFormat="1" ht="53" customHeight="1" spans="1:8">
      <c r="A15" s="75" t="s">
        <v>342</v>
      </c>
      <c r="B15" s="75" t="s">
        <v>31</v>
      </c>
      <c r="C15" s="75" t="s">
        <v>343</v>
      </c>
      <c r="D15" s="76"/>
      <c r="E15" s="76"/>
      <c r="F15" s="76"/>
      <c r="G15" s="76"/>
      <c r="H15" s="76"/>
    </row>
    <row r="16" ht="51" customHeight="1" spans="1:3">
      <c r="A16" s="75" t="s">
        <v>344</v>
      </c>
      <c r="B16" s="75" t="s">
        <v>345</v>
      </c>
      <c r="C16" s="75" t="s">
        <v>346</v>
      </c>
    </row>
    <row r="17" s="73" customFormat="1" ht="40" customHeight="1" spans="1:3">
      <c r="A17" s="75" t="s">
        <v>347</v>
      </c>
      <c r="B17" s="75" t="s">
        <v>348</v>
      </c>
      <c r="C17" s="75" t="s">
        <v>349</v>
      </c>
    </row>
    <row r="18" s="73" customFormat="1" ht="89.25" customHeight="1" spans="1:3">
      <c r="A18" s="75" t="s">
        <v>350</v>
      </c>
      <c r="B18" s="75" t="s">
        <v>351</v>
      </c>
      <c r="C18" s="75" t="s">
        <v>352</v>
      </c>
    </row>
    <row r="19" s="73" customFormat="1" ht="76.5" customHeight="1" spans="1:8">
      <c r="A19" s="77"/>
      <c r="B19" s="78"/>
      <c r="C19" s="78"/>
      <c r="D19" s="79"/>
      <c r="E19" s="78"/>
      <c r="F19" s="77"/>
      <c r="G19" s="80"/>
      <c r="H19" s="77"/>
    </row>
    <row r="20" s="73" customFormat="1" spans="1:8">
      <c r="A20" s="77"/>
      <c r="B20" s="78"/>
      <c r="C20" s="78"/>
      <c r="D20" s="79"/>
      <c r="E20" s="78"/>
      <c r="F20" s="77"/>
      <c r="G20" s="80"/>
      <c r="H20" s="77"/>
    </row>
    <row r="21" s="73" customFormat="1" spans="1:8">
      <c r="A21" s="77"/>
      <c r="B21" s="78"/>
      <c r="C21" s="78"/>
      <c r="D21" s="79"/>
      <c r="E21" s="78"/>
      <c r="F21" s="77"/>
      <c r="G21" s="80"/>
      <c r="H21" s="77"/>
    </row>
    <row r="22" s="73" customFormat="1" ht="89.25" customHeight="1" spans="1:8">
      <c r="A22" s="77"/>
      <c r="B22" s="78"/>
      <c r="C22" s="78"/>
      <c r="D22" s="79"/>
      <c r="E22" s="78"/>
      <c r="F22" s="77"/>
      <c r="G22" s="80"/>
      <c r="H22" s="77"/>
    </row>
    <row r="23" s="73" customFormat="1" spans="1:8">
      <c r="A23" s="77"/>
      <c r="B23" s="78"/>
      <c r="C23" s="78"/>
      <c r="D23" s="79"/>
      <c r="E23" s="78"/>
      <c r="F23" s="77"/>
      <c r="G23" s="80"/>
      <c r="H23" s="77"/>
    </row>
    <row r="24" s="73" customFormat="1" ht="76.5" customHeight="1" spans="1:8">
      <c r="A24" s="77"/>
      <c r="B24" s="78"/>
      <c r="C24" s="78"/>
      <c r="D24" s="79"/>
      <c r="E24" s="78"/>
      <c r="F24" s="77"/>
      <c r="G24" s="80"/>
      <c r="H24" s="77"/>
    </row>
    <row r="25" s="73" customFormat="1" spans="1:8">
      <c r="A25" s="77"/>
      <c r="B25" s="78"/>
      <c r="C25" s="78"/>
      <c r="D25" s="79"/>
      <c r="E25" s="78"/>
      <c r="F25" s="77"/>
      <c r="G25" s="80"/>
      <c r="H25" s="77"/>
    </row>
    <row r="26" s="73" customFormat="1" customHeight="1" spans="1:9">
      <c r="A26" s="77"/>
      <c r="B26" s="77"/>
      <c r="C26" s="77"/>
      <c r="D26" s="77"/>
      <c r="E26" s="77"/>
      <c r="F26" s="77"/>
      <c r="G26" s="77"/>
      <c r="H26" s="77"/>
      <c r="I26" s="77"/>
    </row>
    <row r="27" s="73" customFormat="1" spans="1:8">
      <c r="A27" s="77"/>
      <c r="B27" s="78"/>
      <c r="C27" s="78"/>
      <c r="D27" s="79"/>
      <c r="E27" s="78"/>
      <c r="F27" s="77"/>
      <c r="G27" s="80"/>
      <c r="H27" s="77"/>
    </row>
    <row r="28" s="73" customFormat="1" ht="51" customHeight="1" spans="1:8">
      <c r="A28" s="77"/>
      <c r="B28" s="78"/>
      <c r="C28" s="78"/>
      <c r="D28" s="79"/>
      <c r="E28" s="78"/>
      <c r="F28" s="77"/>
      <c r="G28" s="80"/>
      <c r="H28" s="77"/>
    </row>
    <row r="29" s="73" customFormat="1" spans="1:8">
      <c r="A29" s="77"/>
      <c r="B29" s="78"/>
      <c r="C29" s="78"/>
      <c r="D29" s="79"/>
      <c r="E29" s="78"/>
      <c r="F29" s="77"/>
      <c r="G29" s="80"/>
      <c r="H29" s="77"/>
    </row>
    <row r="30" s="73" customFormat="1" customHeight="1" spans="1:9">
      <c r="A30" s="81"/>
      <c r="B30" s="81"/>
      <c r="C30" s="81"/>
      <c r="D30" s="81"/>
      <c r="E30" s="81"/>
      <c r="F30" s="81"/>
      <c r="G30" s="81"/>
      <c r="H30" s="81"/>
      <c r="I30" s="81"/>
    </row>
    <row r="31" s="73" customFormat="1" spans="1:9">
      <c r="A31" s="77"/>
      <c r="B31" s="78"/>
      <c r="C31" s="78"/>
      <c r="D31" s="79"/>
      <c r="E31" s="78"/>
      <c r="F31" s="77"/>
      <c r="G31" s="80"/>
      <c r="H31" s="77"/>
      <c r="I31" s="81"/>
    </row>
    <row r="32" s="73" customFormat="1" ht="76.5" customHeight="1" spans="1:8">
      <c r="A32" s="77"/>
      <c r="B32" s="78"/>
      <c r="C32" s="78"/>
      <c r="D32" s="79"/>
      <c r="E32" s="78"/>
      <c r="F32" s="77"/>
      <c r="G32" s="80"/>
      <c r="H32" s="77"/>
    </row>
    <row r="33" s="73" customFormat="1" spans="1:8">
      <c r="A33" s="77"/>
      <c r="B33" s="78"/>
      <c r="C33" s="78"/>
      <c r="D33" s="79"/>
      <c r="E33" s="82"/>
      <c r="F33" s="77"/>
      <c r="G33" s="80"/>
      <c r="H33" s="77"/>
    </row>
    <row r="34" s="73" customFormat="1" spans="1:8">
      <c r="A34" s="77"/>
      <c r="B34" s="82"/>
      <c r="C34" s="78"/>
      <c r="D34" s="79"/>
      <c r="E34" s="78"/>
      <c r="F34" s="77"/>
      <c r="G34" s="80"/>
      <c r="H34" s="77"/>
    </row>
    <row r="35" s="73" customFormat="1" spans="1:8">
      <c r="A35" s="77"/>
      <c r="B35" s="82"/>
      <c r="C35" s="78"/>
      <c r="D35" s="79"/>
      <c r="E35" s="82"/>
      <c r="F35" s="77"/>
      <c r="G35" s="80"/>
      <c r="H35" s="77"/>
    </row>
    <row r="36" s="73" customFormat="1" spans="1:8">
      <c r="A36" s="77"/>
      <c r="B36" s="82"/>
      <c r="C36" s="78"/>
      <c r="D36" s="79"/>
      <c r="E36" s="82"/>
      <c r="F36" s="77"/>
      <c r="G36" s="80"/>
      <c r="H36" s="77"/>
    </row>
    <row r="37" s="73" customFormat="1" spans="1:8">
      <c r="A37" s="77"/>
      <c r="B37" s="82"/>
      <c r="C37" s="78"/>
      <c r="D37" s="79"/>
      <c r="E37" s="82"/>
      <c r="F37" s="77"/>
      <c r="G37" s="80"/>
      <c r="H37" s="77"/>
    </row>
    <row r="38" s="73" customFormat="1" ht="51" customHeight="1" spans="1:8">
      <c r="A38" s="77"/>
      <c r="B38" s="82"/>
      <c r="C38" s="78"/>
      <c r="D38" s="79"/>
      <c r="E38" s="82"/>
      <c r="F38" s="77"/>
      <c r="G38" s="80"/>
      <c r="H38" s="77"/>
    </row>
    <row r="39" s="73" customFormat="1" spans="1:8">
      <c r="A39" s="77"/>
      <c r="B39" s="82"/>
      <c r="C39" s="78"/>
      <c r="D39" s="79"/>
      <c r="E39" s="82"/>
      <c r="F39" s="77"/>
      <c r="G39" s="80"/>
      <c r="H39" s="77"/>
    </row>
    <row r="40" s="73" customFormat="1" spans="1:8">
      <c r="A40" s="77"/>
      <c r="B40" s="82"/>
      <c r="C40" s="78"/>
      <c r="D40" s="79"/>
      <c r="E40" s="82"/>
      <c r="F40" s="77"/>
      <c r="G40" s="80"/>
      <c r="H40" s="77"/>
    </row>
    <row r="41" s="73" customFormat="1" spans="1:8">
      <c r="A41" s="77"/>
      <c r="B41" s="82"/>
      <c r="C41" s="78"/>
      <c r="D41" s="79"/>
      <c r="E41" s="82"/>
      <c r="F41" s="77"/>
      <c r="G41" s="80"/>
      <c r="H41" s="77"/>
    </row>
    <row r="42" s="73" customFormat="1" spans="1:8">
      <c r="A42" s="77"/>
      <c r="B42" s="82"/>
      <c r="C42" s="78"/>
      <c r="D42" s="79"/>
      <c r="E42" s="82"/>
      <c r="F42" s="77"/>
      <c r="G42" s="80"/>
      <c r="H42" s="77"/>
    </row>
    <row r="43" s="73" customFormat="1" spans="1:8">
      <c r="A43" s="77"/>
      <c r="B43" s="82"/>
      <c r="C43" s="82"/>
      <c r="D43" s="79"/>
      <c r="E43" s="82"/>
      <c r="F43" s="77"/>
      <c r="G43" s="80"/>
      <c r="H43" s="77"/>
    </row>
    <row r="44" s="73" customFormat="1" spans="1:8">
      <c r="A44" s="77"/>
      <c r="C44" s="82"/>
      <c r="D44" s="79"/>
      <c r="E44" s="82"/>
      <c r="F44" s="77"/>
      <c r="G44" s="80"/>
      <c r="H44" s="77"/>
    </row>
    <row r="45" s="73" customFormat="1" spans="1:8">
      <c r="A45" s="77"/>
      <c r="B45" s="82"/>
      <c r="C45" s="82"/>
      <c r="D45" s="79"/>
      <c r="E45" s="82"/>
      <c r="F45" s="77"/>
      <c r="G45" s="80"/>
      <c r="H45" s="77"/>
    </row>
    <row r="46" s="73" customFormat="1" spans="1:9">
      <c r="A46" s="83"/>
      <c r="B46" s="83"/>
      <c r="C46" s="83"/>
      <c r="D46" s="83"/>
      <c r="E46" s="83"/>
      <c r="F46" s="83"/>
      <c r="G46" s="83"/>
      <c r="H46" s="83"/>
      <c r="I46" s="83"/>
    </row>
    <row r="47" s="73" customFormat="1" spans="1:9">
      <c r="A47" s="84"/>
      <c r="B47" s="82"/>
      <c r="C47" s="82"/>
      <c r="D47" s="79"/>
      <c r="E47" s="82"/>
      <c r="F47" s="84"/>
      <c r="G47" s="85"/>
      <c r="H47" s="77"/>
      <c r="I47" s="72"/>
    </row>
    <row r="48" s="73" customFormat="1" ht="99" customHeight="1" spans="1:9">
      <c r="A48" s="84"/>
      <c r="B48" s="82"/>
      <c r="C48" s="82"/>
      <c r="D48" s="79"/>
      <c r="E48" s="82"/>
      <c r="F48" s="84"/>
      <c r="G48" s="85"/>
      <c r="H48" s="77"/>
      <c r="I48" s="72"/>
    </row>
    <row r="49" s="73" customFormat="1" spans="1:9">
      <c r="A49" s="84"/>
      <c r="B49" s="82"/>
      <c r="C49" s="82"/>
      <c r="D49" s="79"/>
      <c r="E49" s="82"/>
      <c r="F49" s="84"/>
      <c r="G49" s="85"/>
      <c r="H49" s="77"/>
      <c r="I49" s="72"/>
    </row>
    <row r="50" s="73" customFormat="1" spans="1:9">
      <c r="A50" s="84"/>
      <c r="B50" s="82"/>
      <c r="C50" s="82"/>
      <c r="D50" s="79"/>
      <c r="E50" s="82"/>
      <c r="F50" s="84"/>
      <c r="G50" s="85"/>
      <c r="H50" s="77"/>
      <c r="I50" s="72"/>
    </row>
    <row r="51" s="73" customFormat="1" spans="1:9">
      <c r="A51" s="84"/>
      <c r="B51" s="82"/>
      <c r="C51" s="82"/>
      <c r="D51" s="79"/>
      <c r="E51" s="82"/>
      <c r="F51" s="84"/>
      <c r="G51" s="85"/>
      <c r="H51" s="77"/>
      <c r="I51" s="72"/>
    </row>
    <row r="52" s="73" customFormat="1" spans="1:9">
      <c r="A52" s="84"/>
      <c r="B52" s="82"/>
      <c r="C52" s="82"/>
      <c r="D52" s="79"/>
      <c r="E52" s="82"/>
      <c r="F52" s="84"/>
      <c r="G52" s="85"/>
      <c r="H52" s="77"/>
      <c r="I52" s="72"/>
    </row>
    <row r="53" s="73" customFormat="1" spans="1:9">
      <c r="A53" s="84"/>
      <c r="B53" s="82"/>
      <c r="C53" s="82"/>
      <c r="D53" s="79"/>
      <c r="E53" s="82"/>
      <c r="F53" s="84"/>
      <c r="G53" s="85"/>
      <c r="H53" s="77"/>
      <c r="I53" s="72"/>
    </row>
    <row r="54" s="73" customFormat="1" spans="1:9">
      <c r="A54" s="84"/>
      <c r="B54" s="82"/>
      <c r="C54" s="82"/>
      <c r="D54" s="79"/>
      <c r="E54" s="82"/>
      <c r="F54" s="84"/>
      <c r="G54" s="85"/>
      <c r="H54" s="77"/>
      <c r="I54" s="72"/>
    </row>
    <row r="55" s="73" customFormat="1" spans="1:9">
      <c r="A55" s="84"/>
      <c r="B55" s="82"/>
      <c r="C55" s="82"/>
      <c r="D55" s="79"/>
      <c r="E55" s="82"/>
      <c r="F55" s="84"/>
      <c r="G55" s="85"/>
      <c r="H55" s="77"/>
      <c r="I55" s="72"/>
    </row>
    <row r="56" s="73" customFormat="1" spans="1:9">
      <c r="A56" s="84"/>
      <c r="B56" s="82"/>
      <c r="C56" s="82"/>
      <c r="D56" s="79"/>
      <c r="E56" s="82"/>
      <c r="F56" s="84"/>
      <c r="G56" s="85"/>
      <c r="H56" s="77"/>
      <c r="I56" s="72"/>
    </row>
    <row r="57" s="73" customFormat="1" spans="1:9">
      <c r="A57" s="84"/>
      <c r="B57" s="82"/>
      <c r="C57" s="82"/>
      <c r="D57" s="79"/>
      <c r="E57" s="82"/>
      <c r="F57" s="84"/>
      <c r="G57" s="85"/>
      <c r="H57" s="77"/>
      <c r="I57" s="72"/>
    </row>
    <row r="58" s="73" customFormat="1" spans="1:9">
      <c r="A58" s="84"/>
      <c r="B58" s="82"/>
      <c r="C58" s="82"/>
      <c r="D58" s="82"/>
      <c r="E58" s="82"/>
      <c r="F58" s="84"/>
      <c r="G58" s="85"/>
      <c r="H58" s="77"/>
      <c r="I58" s="72"/>
    </row>
    <row r="59" s="73" customFormat="1" spans="1:5">
      <c r="A59" s="84"/>
      <c r="B59" s="82"/>
      <c r="C59" s="82"/>
      <c r="D59" s="82"/>
      <c r="E59" s="82"/>
    </row>
    <row r="60" s="73" customFormat="1" spans="1:5">
      <c r="A60" s="84"/>
      <c r="B60" s="82"/>
      <c r="C60" s="82"/>
      <c r="D60" s="82"/>
      <c r="E60" s="82"/>
    </row>
    <row r="61" s="73" customFormat="1" spans="1:5">
      <c r="A61" s="84"/>
      <c r="B61" s="82"/>
      <c r="C61" s="82"/>
      <c r="D61" s="82"/>
      <c r="E61" s="82"/>
    </row>
    <row r="62" s="73" customFormat="1" spans="1:5">
      <c r="A62" s="84"/>
      <c r="B62" s="82"/>
      <c r="C62" s="82"/>
      <c r="D62" s="82"/>
      <c r="E62" s="82"/>
    </row>
    <row r="63" spans="2:5">
      <c r="B63" s="86"/>
      <c r="C63" s="86"/>
      <c r="D63" s="86"/>
      <c r="E63" s="86"/>
    </row>
    <row r="64" spans="2:5">
      <c r="B64" s="86"/>
      <c r="C64" s="86"/>
      <c r="D64" s="86"/>
      <c r="E64" s="86"/>
    </row>
    <row r="65" spans="2:5">
      <c r="B65" s="86"/>
      <c r="C65" s="86"/>
      <c r="D65" s="86"/>
      <c r="E65" s="86"/>
    </row>
    <row r="66" spans="2:5">
      <c r="B66" s="86"/>
      <c r="C66" s="86"/>
      <c r="D66" s="86"/>
      <c r="E66" s="86"/>
    </row>
    <row r="67" spans="2:5">
      <c r="B67" s="86"/>
      <c r="C67" s="86"/>
      <c r="D67" s="86"/>
      <c r="E67" s="86"/>
    </row>
    <row r="68" spans="2:5">
      <c r="B68" s="86"/>
      <c r="C68" s="86"/>
      <c r="D68" s="86"/>
      <c r="E68" s="86"/>
    </row>
    <row r="69" spans="2:5">
      <c r="B69" s="86"/>
      <c r="C69" s="86"/>
      <c r="D69" s="86"/>
      <c r="E69" s="86"/>
    </row>
    <row r="70" spans="2:5">
      <c r="B70" s="86"/>
      <c r="C70" s="86"/>
      <c r="D70" s="86"/>
      <c r="E70" s="86"/>
    </row>
    <row r="71" spans="2:5">
      <c r="B71" s="86"/>
      <c r="C71" s="86"/>
      <c r="D71" s="86"/>
      <c r="E71" s="86"/>
    </row>
    <row r="72" spans="2:5">
      <c r="B72" s="86"/>
      <c r="C72" s="86"/>
      <c r="D72" s="86"/>
      <c r="E72" s="86"/>
    </row>
  </sheetData>
  <mergeCells count="3">
    <mergeCell ref="A26:I26"/>
    <mergeCell ref="A30:I30"/>
    <mergeCell ref="A46:I46"/>
  </mergeCells>
  <conditionalFormatting sqref="F28">
    <cfRule type="cellIs" dxfId="0" priority="9" operator="equal">
      <formula>"N/A"</formula>
    </cfRule>
    <cfRule type="cellIs" dxfId="1" priority="10" operator="equal">
      <formula>"Fail"</formula>
    </cfRule>
    <cfRule type="cellIs" dxfId="2" priority="11" operator="equal">
      <formula>Fail</formula>
    </cfRule>
    <cfRule type="cellIs" dxfId="3" priority="12" operator="equal">
      <formula>"Pass"</formula>
    </cfRule>
  </conditionalFormatting>
  <conditionalFormatting sqref="F31">
    <cfRule type="cellIs" dxfId="0" priority="5" operator="equal">
      <formula>"N/A"</formula>
    </cfRule>
    <cfRule type="cellIs" dxfId="1" priority="6" operator="equal">
      <formula>"Fail"</formula>
    </cfRule>
    <cfRule type="cellIs" dxfId="2" priority="7" operator="equal">
      <formula>Fail</formula>
    </cfRule>
    <cfRule type="cellIs" dxfId="3" priority="8" operator="equal">
      <formula>"Pass"</formula>
    </cfRule>
  </conditionalFormatting>
  <conditionalFormatting sqref="F47:F58">
    <cfRule type="cellIs" dxfId="0" priority="1" operator="equal">
      <formula>"N/A"</formula>
    </cfRule>
    <cfRule type="cellIs" dxfId="1" priority="2" operator="equal">
      <formula>"Fail"</formula>
    </cfRule>
    <cfRule type="cellIs" dxfId="2" priority="3" operator="equal">
      <formula>Fail</formula>
    </cfRule>
    <cfRule type="cellIs" dxfId="3" priority="4" operator="equal">
      <formula>"Pass"</formula>
    </cfRule>
  </conditionalFormatting>
  <conditionalFormatting sqref="F19:F25 F29 F27 F32:F45">
    <cfRule type="cellIs" dxfId="0" priority="13" operator="equal">
      <formula>"N/A"</formula>
    </cfRule>
    <cfRule type="cellIs" dxfId="1" priority="14" operator="equal">
      <formula>"Fail"</formula>
    </cfRule>
    <cfRule type="cellIs" dxfId="2" priority="15" operator="equal">
      <formula>Fail</formula>
    </cfRule>
    <cfRule type="cellIs" dxfId="3" priority="16" operator="equal">
      <formula>"Pass"</formula>
    </cfRule>
  </conditionalFormatting>
  <dataValidations count="1">
    <dataValidation type="list" allowBlank="1" showErrorMessage="1" sqref="E15 F19:F45 F47:F58">
      <formula1>"Pass,Fail,N/A,Untested"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6"/>
  <sheetViews>
    <sheetView zoomScale="88" zoomScaleNormal="88" workbookViewId="0">
      <selection activeCell="F7" sqref="F7"/>
    </sheetView>
  </sheetViews>
  <sheetFormatPr defaultColWidth="9.14285714285714" defaultRowHeight="15" outlineLevelCol="7"/>
  <cols>
    <col min="2" max="2" width="13.8571428571429" customWidth="1"/>
    <col min="3" max="3" width="20.1428571428571" customWidth="1"/>
    <col min="4" max="4" width="13.1428571428571"/>
    <col min="5" max="5" width="14.5714285714286" customWidth="1"/>
    <col min="8" max="8" width="52.4285714285714" customWidth="1"/>
  </cols>
  <sheetData>
    <row r="1" ht="25.5" spans="1:8">
      <c r="A1" s="36"/>
      <c r="B1" s="37" t="s">
        <v>353</v>
      </c>
      <c r="C1" s="38"/>
      <c r="D1" s="38"/>
      <c r="E1" s="38"/>
      <c r="F1" s="38"/>
      <c r="G1" s="38"/>
      <c r="H1" s="38"/>
    </row>
    <row r="2" spans="1:8">
      <c r="A2" s="39"/>
      <c r="B2" s="39"/>
      <c r="C2" s="36"/>
      <c r="D2" s="36"/>
      <c r="E2" s="36"/>
      <c r="F2" s="36"/>
      <c r="G2" s="36"/>
      <c r="H2" s="40"/>
    </row>
    <row r="3" spans="1:8">
      <c r="A3" s="36"/>
      <c r="B3" s="41" t="s">
        <v>354</v>
      </c>
      <c r="C3" s="42" t="s">
        <v>355</v>
      </c>
      <c r="D3" s="7"/>
      <c r="E3" s="43" t="s">
        <v>356</v>
      </c>
      <c r="F3" s="7"/>
      <c r="G3" s="44" t="s">
        <v>357</v>
      </c>
      <c r="H3" s="7"/>
    </row>
    <row r="4" spans="1:8">
      <c r="A4" s="36"/>
      <c r="B4" s="41" t="s">
        <v>358</v>
      </c>
      <c r="C4" s="42" t="s">
        <v>355</v>
      </c>
      <c r="D4" s="7"/>
      <c r="E4" s="43" t="s">
        <v>359</v>
      </c>
      <c r="F4" s="7"/>
      <c r="G4" s="42"/>
      <c r="H4" s="7"/>
    </row>
    <row r="5" spans="1:8">
      <c r="A5" s="36"/>
      <c r="B5" s="45" t="s">
        <v>360</v>
      </c>
      <c r="C5" s="42"/>
      <c r="D5" s="7"/>
      <c r="E5" s="43" t="s">
        <v>361</v>
      </c>
      <c r="F5" s="7"/>
      <c r="G5" s="46"/>
      <c r="H5" s="7"/>
    </row>
    <row r="6" spans="1:8">
      <c r="A6" s="39"/>
      <c r="B6" s="45" t="s">
        <v>362</v>
      </c>
      <c r="C6" s="47"/>
      <c r="D6" s="6"/>
      <c r="E6" s="6"/>
      <c r="F6" s="6"/>
      <c r="G6" s="6"/>
      <c r="H6" s="7"/>
    </row>
    <row r="7" spans="1:8">
      <c r="A7" s="39"/>
      <c r="B7" s="48"/>
      <c r="C7" s="49"/>
      <c r="D7" s="36"/>
      <c r="E7" s="36"/>
      <c r="F7" s="36"/>
      <c r="G7" s="36"/>
      <c r="H7" s="40"/>
    </row>
    <row r="9" spans="1:8">
      <c r="A9" s="50"/>
      <c r="B9" s="51" t="s">
        <v>363</v>
      </c>
      <c r="C9" s="52" t="s">
        <v>364</v>
      </c>
      <c r="D9" s="52" t="s">
        <v>365</v>
      </c>
      <c r="E9" s="52" t="s">
        <v>366</v>
      </c>
      <c r="F9" s="52" t="s">
        <v>367</v>
      </c>
      <c r="G9" s="52" t="s">
        <v>368</v>
      </c>
      <c r="H9" s="52" t="s">
        <v>369</v>
      </c>
    </row>
    <row r="10" spans="1:8">
      <c r="A10" s="50"/>
      <c r="B10" s="53">
        <v>1</v>
      </c>
      <c r="C10" s="54" t="s">
        <v>370</v>
      </c>
      <c r="D10" s="53">
        <v>10</v>
      </c>
      <c r="E10" s="53">
        <v>0</v>
      </c>
      <c r="F10" s="53">
        <v>0</v>
      </c>
      <c r="G10" s="53">
        <v>0</v>
      </c>
      <c r="H10" s="53">
        <v>10</v>
      </c>
    </row>
    <row r="11" spans="1:8">
      <c r="A11" s="50"/>
      <c r="B11" s="53">
        <v>2</v>
      </c>
      <c r="C11" s="55" t="s">
        <v>371</v>
      </c>
      <c r="D11" s="53">
        <v>33</v>
      </c>
      <c r="E11" s="53">
        <v>5</v>
      </c>
      <c r="F11" s="53">
        <v>0</v>
      </c>
      <c r="G11" s="53">
        <v>0</v>
      </c>
      <c r="H11" s="53">
        <v>38</v>
      </c>
    </row>
    <row r="12" spans="1:8">
      <c r="A12" s="50"/>
      <c r="B12" s="53">
        <v>3</v>
      </c>
      <c r="C12" s="55" t="s">
        <v>372</v>
      </c>
      <c r="D12" s="53">
        <v>5</v>
      </c>
      <c r="E12" s="53">
        <v>1</v>
      </c>
      <c r="F12" s="53">
        <v>0</v>
      </c>
      <c r="G12" s="53">
        <v>0</v>
      </c>
      <c r="H12" s="53">
        <v>6</v>
      </c>
    </row>
    <row r="13" spans="1:8">
      <c r="A13" s="50"/>
      <c r="B13" s="53">
        <v>4</v>
      </c>
      <c r="C13" s="55" t="s">
        <v>373</v>
      </c>
      <c r="D13" s="53">
        <v>15</v>
      </c>
      <c r="E13" s="53">
        <v>2</v>
      </c>
      <c r="F13" s="53">
        <v>0</v>
      </c>
      <c r="G13" s="53">
        <v>0</v>
      </c>
      <c r="H13" s="53">
        <v>17</v>
      </c>
    </row>
    <row r="14" spans="1:8">
      <c r="A14" s="50"/>
      <c r="B14" s="53">
        <v>5</v>
      </c>
      <c r="C14" s="55" t="s">
        <v>374</v>
      </c>
      <c r="D14" s="53">
        <v>11</v>
      </c>
      <c r="E14" s="53">
        <v>0</v>
      </c>
      <c r="F14" s="53">
        <v>1</v>
      </c>
      <c r="G14" s="53">
        <v>0</v>
      </c>
      <c r="H14" s="53">
        <v>12</v>
      </c>
    </row>
    <row r="15" spans="1:8">
      <c r="A15" s="50"/>
      <c r="B15" s="53">
        <v>6</v>
      </c>
      <c r="C15" s="55" t="s">
        <v>375</v>
      </c>
      <c r="D15" s="53">
        <v>3</v>
      </c>
      <c r="E15" s="53">
        <v>0</v>
      </c>
      <c r="F15" s="53">
        <v>1</v>
      </c>
      <c r="G15" s="53">
        <v>4</v>
      </c>
      <c r="H15" s="53">
        <v>8</v>
      </c>
    </row>
    <row r="16" spans="1:8">
      <c r="A16" s="50"/>
      <c r="B16" s="53">
        <v>7</v>
      </c>
      <c r="C16" s="56" t="s">
        <v>376</v>
      </c>
      <c r="D16" s="53">
        <v>3</v>
      </c>
      <c r="E16" s="53">
        <v>0</v>
      </c>
      <c r="F16" s="53">
        <v>2</v>
      </c>
      <c r="G16" s="53">
        <v>5</v>
      </c>
      <c r="H16" s="53">
        <v>10</v>
      </c>
    </row>
    <row r="17" spans="1:8">
      <c r="A17" s="50"/>
      <c r="B17" s="53">
        <v>8</v>
      </c>
      <c r="C17" s="55" t="s">
        <v>377</v>
      </c>
      <c r="D17" s="53">
        <v>19</v>
      </c>
      <c r="E17" s="53">
        <v>0</v>
      </c>
      <c r="F17" s="53">
        <v>1</v>
      </c>
      <c r="G17" s="53">
        <v>0</v>
      </c>
      <c r="H17" s="53">
        <v>20</v>
      </c>
    </row>
    <row r="18" spans="1:8">
      <c r="A18" s="50"/>
      <c r="B18" s="53">
        <v>9</v>
      </c>
      <c r="C18" s="56" t="s">
        <v>378</v>
      </c>
      <c r="D18" s="53">
        <v>23</v>
      </c>
      <c r="E18" s="53">
        <v>9</v>
      </c>
      <c r="F18" s="53">
        <v>5</v>
      </c>
      <c r="G18" s="53">
        <v>0</v>
      </c>
      <c r="H18" s="53">
        <v>37</v>
      </c>
    </row>
    <row r="19" spans="1:8">
      <c r="A19" s="50"/>
      <c r="B19" s="53">
        <v>10</v>
      </c>
      <c r="C19" s="56"/>
      <c r="D19" s="53"/>
      <c r="E19" s="53"/>
      <c r="F19" s="53"/>
      <c r="G19" s="53"/>
      <c r="H19" s="53"/>
    </row>
    <row r="20" spans="1:8">
      <c r="A20" s="50"/>
      <c r="B20" s="53">
        <v>11</v>
      </c>
      <c r="C20" s="56"/>
      <c r="D20" s="53"/>
      <c r="E20" s="53"/>
      <c r="F20" s="53"/>
      <c r="G20" s="53"/>
      <c r="H20" s="53"/>
    </row>
    <row r="21" spans="1:8">
      <c r="A21" s="50"/>
      <c r="B21" s="57"/>
      <c r="C21" s="58" t="s">
        <v>379</v>
      </c>
      <c r="D21" s="59">
        <f t="shared" ref="D21:H21" si="0">SUM(D10:D18)</f>
        <v>122</v>
      </c>
      <c r="E21" s="59">
        <f t="shared" si="0"/>
        <v>17</v>
      </c>
      <c r="F21" s="59">
        <f t="shared" si="0"/>
        <v>10</v>
      </c>
      <c r="G21" s="59">
        <f t="shared" si="0"/>
        <v>9</v>
      </c>
      <c r="H21" s="59">
        <f t="shared" si="0"/>
        <v>158</v>
      </c>
    </row>
    <row r="24" spans="3:3">
      <c r="C24" s="60" t="s">
        <v>380</v>
      </c>
    </row>
    <row r="25" spans="3:3">
      <c r="C25" s="60" t="s">
        <v>381</v>
      </c>
    </row>
    <row r="26" spans="1:8">
      <c r="A26" s="36"/>
      <c r="B26" s="36"/>
      <c r="C26" s="36"/>
      <c r="D26" s="36"/>
      <c r="E26" s="36"/>
      <c r="F26" s="36"/>
      <c r="G26" s="36"/>
      <c r="H26" s="36"/>
    </row>
    <row r="27" spans="1:8">
      <c r="A27" s="36"/>
      <c r="B27" s="36"/>
      <c r="C27" s="36"/>
      <c r="D27" s="36"/>
      <c r="E27" s="36"/>
      <c r="F27" s="36"/>
      <c r="G27" s="36"/>
      <c r="H27" s="36"/>
    </row>
    <row r="28" spans="1:8">
      <c r="A28" s="36"/>
      <c r="B28" s="36"/>
      <c r="C28" s="36"/>
      <c r="D28" s="36"/>
      <c r="E28" s="36"/>
      <c r="F28" s="36"/>
      <c r="G28" s="36"/>
      <c r="H28" s="36"/>
    </row>
    <row r="29" spans="1:8">
      <c r="A29" s="36"/>
      <c r="B29" s="36"/>
      <c r="C29" s="36"/>
      <c r="D29" s="36"/>
      <c r="E29" s="36"/>
      <c r="F29" s="36"/>
      <c r="G29" s="36"/>
      <c r="H29" s="36"/>
    </row>
    <row r="30" spans="1:8">
      <c r="A30" s="36"/>
      <c r="B30" s="36"/>
      <c r="C30" s="36"/>
      <c r="D30" s="36"/>
      <c r="E30" s="36"/>
      <c r="F30" s="36"/>
      <c r="G30" s="36"/>
      <c r="H30" s="36"/>
    </row>
    <row r="31" spans="1:8">
      <c r="A31" s="36"/>
      <c r="B31" s="36"/>
      <c r="C31" s="36"/>
      <c r="D31" s="36"/>
      <c r="E31" s="36"/>
      <c r="F31" s="36"/>
      <c r="G31" s="36"/>
      <c r="H31" s="36"/>
    </row>
    <row r="32" spans="1:8">
      <c r="A32" s="36"/>
      <c r="B32" s="36"/>
      <c r="C32" s="36"/>
      <c r="D32" s="36"/>
      <c r="E32" s="36"/>
      <c r="F32" s="36"/>
      <c r="G32" s="36"/>
      <c r="H32" s="36"/>
    </row>
    <row r="33" spans="1:8">
      <c r="A33" s="36"/>
      <c r="B33" s="36"/>
      <c r="C33" s="36"/>
      <c r="D33" s="36"/>
      <c r="E33" s="36"/>
      <c r="F33" s="36"/>
      <c r="G33" s="36"/>
      <c r="H33" s="36"/>
    </row>
    <row r="34" spans="1:8">
      <c r="A34" s="36"/>
      <c r="B34" s="36"/>
      <c r="C34" s="36"/>
      <c r="D34" s="36"/>
      <c r="E34" s="36"/>
      <c r="F34" s="36"/>
      <c r="G34" s="36"/>
      <c r="H34" s="36"/>
    </row>
    <row r="35" spans="1:8">
      <c r="A35" s="36"/>
      <c r="B35" s="36"/>
      <c r="C35" s="36"/>
      <c r="D35" s="36"/>
      <c r="E35" s="36"/>
      <c r="F35" s="36"/>
      <c r="G35" s="36"/>
      <c r="H35" s="36"/>
    </row>
    <row r="36" spans="1:8">
      <c r="A36" s="36"/>
      <c r="B36" s="36"/>
      <c r="C36" s="36"/>
      <c r="D36" s="36"/>
      <c r="E36" s="36"/>
      <c r="F36" s="36"/>
      <c r="G36" s="36"/>
      <c r="H36" s="36"/>
    </row>
    <row r="37" spans="1:8">
      <c r="A37" s="36"/>
      <c r="B37" s="36"/>
      <c r="C37" s="36"/>
      <c r="D37" s="36"/>
      <c r="E37" s="36"/>
      <c r="F37" s="36"/>
      <c r="G37" s="36"/>
      <c r="H37" s="36"/>
    </row>
    <row r="38" spans="1:8">
      <c r="A38" s="36"/>
      <c r="B38" s="36"/>
      <c r="C38" s="36"/>
      <c r="D38" s="36"/>
      <c r="E38" s="36"/>
      <c r="F38" s="36"/>
      <c r="G38" s="36"/>
      <c r="H38" s="36"/>
    </row>
    <row r="39" spans="1:8">
      <c r="A39" s="36"/>
      <c r="B39" s="36"/>
      <c r="C39" s="36"/>
      <c r="D39" s="36"/>
      <c r="E39" s="36"/>
      <c r="F39" s="36"/>
      <c r="G39" s="36"/>
      <c r="H39" s="36"/>
    </row>
    <row r="40" spans="1:8">
      <c r="A40" s="36"/>
      <c r="B40" s="36"/>
      <c r="C40" s="36"/>
      <c r="D40" s="36"/>
      <c r="E40" s="36"/>
      <c r="F40" s="36"/>
      <c r="G40" s="36"/>
      <c r="H40" s="36"/>
    </row>
    <row r="41" spans="1:8">
      <c r="A41" s="36"/>
      <c r="B41" s="36"/>
      <c r="C41" s="36"/>
      <c r="D41" s="36"/>
      <c r="E41" s="36"/>
      <c r="F41" s="36"/>
      <c r="G41" s="36"/>
      <c r="H41" s="36"/>
    </row>
    <row r="42" spans="1:8">
      <c r="A42" s="36"/>
      <c r="B42" s="36"/>
      <c r="C42" s="36"/>
      <c r="D42" s="36"/>
      <c r="E42" s="36"/>
      <c r="F42" s="36"/>
      <c r="G42" s="36"/>
      <c r="H42" s="36"/>
    </row>
    <row r="43" spans="1:8">
      <c r="A43" s="36"/>
      <c r="B43" s="36"/>
      <c r="C43" s="36"/>
      <c r="D43" s="36"/>
      <c r="E43" s="36"/>
      <c r="F43" s="36"/>
      <c r="G43" s="36"/>
      <c r="H43" s="36"/>
    </row>
    <row r="44" spans="1:8">
      <c r="A44" s="36"/>
      <c r="B44" s="36"/>
      <c r="C44" s="36"/>
      <c r="D44" s="36"/>
      <c r="E44" s="36"/>
      <c r="F44" s="36"/>
      <c r="G44" s="36"/>
      <c r="H44" s="36"/>
    </row>
    <row r="45" spans="1:8">
      <c r="A45" s="36"/>
      <c r="B45" s="36"/>
      <c r="C45" s="36"/>
      <c r="D45" s="36"/>
      <c r="E45" s="36"/>
      <c r="F45" s="36"/>
      <c r="G45" s="36"/>
      <c r="H45" s="36"/>
    </row>
    <row r="46" spans="1:8">
      <c r="A46" s="36"/>
      <c r="B46" s="36"/>
      <c r="C46" s="36"/>
      <c r="D46" s="36"/>
      <c r="E46" s="36"/>
      <c r="F46" s="36"/>
      <c r="G46" s="36"/>
      <c r="H46" s="36"/>
    </row>
    <row r="47" spans="1:8">
      <c r="A47" s="36"/>
      <c r="B47" s="36"/>
      <c r="C47" s="36"/>
      <c r="D47" s="36"/>
      <c r="E47" s="36"/>
      <c r="F47" s="36"/>
      <c r="G47" s="36"/>
      <c r="H47" s="36"/>
    </row>
    <row r="48" spans="1:8">
      <c r="A48" s="36"/>
      <c r="B48" s="36"/>
      <c r="C48" s="36"/>
      <c r="D48" s="36"/>
      <c r="E48" s="36"/>
      <c r="F48" s="36"/>
      <c r="G48" s="36"/>
      <c r="H48" s="36"/>
    </row>
    <row r="49" spans="1:8">
      <c r="A49" s="36"/>
      <c r="B49" s="36"/>
      <c r="C49" s="36"/>
      <c r="D49" s="36"/>
      <c r="E49" s="36"/>
      <c r="F49" s="36"/>
      <c r="G49" s="36"/>
      <c r="H49" s="36"/>
    </row>
    <row r="50" spans="1:8">
      <c r="A50" s="36"/>
      <c r="B50" s="36"/>
      <c r="C50" s="36"/>
      <c r="D50" s="36"/>
      <c r="E50" s="36"/>
      <c r="F50" s="36"/>
      <c r="G50" s="36"/>
      <c r="H50" s="36"/>
    </row>
    <row r="51" spans="1:8">
      <c r="A51" s="36"/>
      <c r="B51" s="36"/>
      <c r="C51" s="36"/>
      <c r="D51" s="36"/>
      <c r="E51" s="36"/>
      <c r="F51" s="36"/>
      <c r="G51" s="36"/>
      <c r="H51" s="36"/>
    </row>
    <row r="52" spans="1:8">
      <c r="A52" s="36"/>
      <c r="B52" s="36"/>
      <c r="C52" s="36"/>
      <c r="D52" s="36"/>
      <c r="E52" s="36"/>
      <c r="F52" s="36"/>
      <c r="G52" s="36"/>
      <c r="H52" s="36"/>
    </row>
    <row r="53" spans="1:8">
      <c r="A53" s="36"/>
      <c r="B53" s="36"/>
      <c r="C53" s="36"/>
      <c r="D53" s="36"/>
      <c r="E53" s="36"/>
      <c r="F53" s="36"/>
      <c r="G53" s="36"/>
      <c r="H53" s="36"/>
    </row>
    <row r="54" spans="1:8">
      <c r="A54" s="36"/>
      <c r="B54" s="36"/>
      <c r="C54" s="36"/>
      <c r="D54" s="36"/>
      <c r="E54" s="36"/>
      <c r="F54" s="36"/>
      <c r="G54" s="36"/>
      <c r="H54" s="36"/>
    </row>
    <row r="55" spans="1:8">
      <c r="A55" s="36"/>
      <c r="B55" s="36"/>
      <c r="C55" s="36"/>
      <c r="D55" s="36"/>
      <c r="E55" s="36"/>
      <c r="F55" s="36"/>
      <c r="G55" s="36"/>
      <c r="H55" s="36"/>
    </row>
    <row r="56" spans="1:8">
      <c r="A56" s="36"/>
      <c r="B56" s="36"/>
      <c r="C56" s="36"/>
      <c r="D56" s="36"/>
      <c r="E56" s="36"/>
      <c r="F56" s="36"/>
      <c r="G56" s="36"/>
      <c r="H56" s="36"/>
    </row>
    <row r="57" spans="1:8">
      <c r="A57" s="36"/>
      <c r="B57" s="36"/>
      <c r="C57" s="36"/>
      <c r="D57" s="36"/>
      <c r="E57" s="36"/>
      <c r="F57" s="36"/>
      <c r="G57" s="36"/>
      <c r="H57" s="36"/>
    </row>
    <row r="58" spans="1:8">
      <c r="A58" s="36"/>
      <c r="B58" s="36"/>
      <c r="C58" s="36"/>
      <c r="D58" s="36"/>
      <c r="E58" s="36"/>
      <c r="F58" s="36"/>
      <c r="G58" s="36"/>
      <c r="H58" s="36"/>
    </row>
    <row r="59" spans="1:8">
      <c r="A59" s="36"/>
      <c r="B59" s="36"/>
      <c r="C59" s="36"/>
      <c r="D59" s="36"/>
      <c r="E59" s="36"/>
      <c r="F59" s="36"/>
      <c r="G59" s="36"/>
      <c r="H59" s="36"/>
    </row>
    <row r="60" spans="1:8">
      <c r="A60" s="36"/>
      <c r="B60" s="36"/>
      <c r="C60" s="36"/>
      <c r="D60" s="36"/>
      <c r="E60" s="36"/>
      <c r="F60" s="36"/>
      <c r="G60" s="36"/>
      <c r="H60" s="36"/>
    </row>
    <row r="61" spans="1:8">
      <c r="A61" s="36"/>
      <c r="B61" s="36"/>
      <c r="C61" s="36"/>
      <c r="D61" s="36"/>
      <c r="E61" s="36"/>
      <c r="F61" s="36"/>
      <c r="G61" s="36"/>
      <c r="H61" s="36"/>
    </row>
    <row r="62" spans="1:8">
      <c r="A62" s="36"/>
      <c r="B62" s="36"/>
      <c r="C62" s="36"/>
      <c r="D62" s="36"/>
      <c r="E62" s="36"/>
      <c r="F62" s="36"/>
      <c r="G62" s="36"/>
      <c r="H62" s="36"/>
    </row>
    <row r="63" spans="1:8">
      <c r="A63" s="36"/>
      <c r="B63" s="36"/>
      <c r="C63" s="36"/>
      <c r="D63" s="36"/>
      <c r="E63" s="36"/>
      <c r="F63" s="36"/>
      <c r="G63" s="36"/>
      <c r="H63" s="36"/>
    </row>
    <row r="64" spans="1:8">
      <c r="A64" s="36"/>
      <c r="B64" s="36"/>
      <c r="C64" s="36"/>
      <c r="D64" s="36"/>
      <c r="E64" s="36"/>
      <c r="F64" s="36"/>
      <c r="G64" s="36"/>
      <c r="H64" s="36"/>
    </row>
    <row r="65" spans="1:8">
      <c r="A65" s="36"/>
      <c r="B65" s="36"/>
      <c r="C65" s="36"/>
      <c r="D65" s="36"/>
      <c r="E65" s="36"/>
      <c r="F65" s="36"/>
      <c r="G65" s="36"/>
      <c r="H65" s="36"/>
    </row>
    <row r="66" spans="1:8">
      <c r="A66" s="36"/>
      <c r="B66" s="36"/>
      <c r="C66" s="36"/>
      <c r="D66" s="36"/>
      <c r="E66" s="36"/>
      <c r="F66" s="36"/>
      <c r="G66" s="36"/>
      <c r="H66" s="36"/>
    </row>
    <row r="67" spans="1:8">
      <c r="A67" s="36"/>
      <c r="B67" s="36"/>
      <c r="C67" s="36"/>
      <c r="D67" s="36"/>
      <c r="E67" s="36"/>
      <c r="F67" s="36"/>
      <c r="G67" s="36"/>
      <c r="H67" s="36"/>
    </row>
    <row r="68" spans="1:8">
      <c r="A68" s="36"/>
      <c r="B68" s="36"/>
      <c r="C68" s="36"/>
      <c r="D68" s="36"/>
      <c r="E68" s="36"/>
      <c r="F68" s="36"/>
      <c r="G68" s="36"/>
      <c r="H68" s="36"/>
    </row>
    <row r="69" spans="1:8">
      <c r="A69" s="36"/>
      <c r="B69" s="36"/>
      <c r="C69" s="36"/>
      <c r="D69" s="36"/>
      <c r="E69" s="36"/>
      <c r="F69" s="36"/>
      <c r="G69" s="36"/>
      <c r="H69" s="36"/>
    </row>
    <row r="70" spans="1:8">
      <c r="A70" s="36"/>
      <c r="B70" s="36"/>
      <c r="C70" s="36"/>
      <c r="D70" s="36"/>
      <c r="E70" s="36"/>
      <c r="F70" s="36"/>
      <c r="G70" s="36"/>
      <c r="H70" s="36"/>
    </row>
    <row r="71" spans="1:8">
      <c r="A71" s="36"/>
      <c r="B71" s="36"/>
      <c r="C71" s="36"/>
      <c r="D71" s="36"/>
      <c r="E71" s="36"/>
      <c r="F71" s="36"/>
      <c r="G71" s="36"/>
      <c r="H71" s="36"/>
    </row>
    <row r="72" spans="1:8">
      <c r="A72" s="36"/>
      <c r="B72" s="36"/>
      <c r="C72" s="36"/>
      <c r="D72" s="36"/>
      <c r="E72" s="36"/>
      <c r="F72" s="36"/>
      <c r="G72" s="36"/>
      <c r="H72" s="36"/>
    </row>
    <row r="73" spans="1:8">
      <c r="A73" s="36"/>
      <c r="B73" s="36"/>
      <c r="C73" s="36"/>
      <c r="D73" s="36"/>
      <c r="E73" s="36"/>
      <c r="F73" s="36"/>
      <c r="G73" s="36"/>
      <c r="H73" s="36"/>
    </row>
    <row r="74" spans="1:8">
      <c r="A74" s="36"/>
      <c r="B74" s="36"/>
      <c r="C74" s="36"/>
      <c r="D74" s="36"/>
      <c r="E74" s="36"/>
      <c r="F74" s="36"/>
      <c r="G74" s="36"/>
      <c r="H74" s="36"/>
    </row>
    <row r="75" spans="1:8">
      <c r="A75" s="36"/>
      <c r="B75" s="36"/>
      <c r="C75" s="36"/>
      <c r="D75" s="36"/>
      <c r="E75" s="36"/>
      <c r="F75" s="36"/>
      <c r="G75" s="36"/>
      <c r="H75" s="36"/>
    </row>
    <row r="76" spans="1:8">
      <c r="A76" s="36"/>
      <c r="B76" s="36"/>
      <c r="C76" s="36"/>
      <c r="D76" s="36"/>
      <c r="E76" s="36"/>
      <c r="F76" s="36"/>
      <c r="G76" s="36"/>
      <c r="H76" s="36"/>
    </row>
    <row r="77" spans="1:8">
      <c r="A77" s="36"/>
      <c r="B77" s="36"/>
      <c r="C77" s="36"/>
      <c r="D77" s="36"/>
      <c r="E77" s="36"/>
      <c r="F77" s="36"/>
      <c r="G77" s="36"/>
      <c r="H77" s="36"/>
    </row>
    <row r="78" spans="1:8">
      <c r="A78" s="36"/>
      <c r="B78" s="36"/>
      <c r="C78" s="36"/>
      <c r="D78" s="36"/>
      <c r="E78" s="36"/>
      <c r="F78" s="36"/>
      <c r="G78" s="36"/>
      <c r="H78" s="36"/>
    </row>
    <row r="79" spans="1:8">
      <c r="A79" s="36"/>
      <c r="B79" s="36"/>
      <c r="C79" s="36"/>
      <c r="D79" s="36"/>
      <c r="E79" s="36"/>
      <c r="F79" s="36"/>
      <c r="G79" s="36"/>
      <c r="H79" s="36"/>
    </row>
    <row r="80" spans="1:8">
      <c r="A80" s="36"/>
      <c r="B80" s="36"/>
      <c r="C80" s="36"/>
      <c r="D80" s="36"/>
      <c r="E80" s="36"/>
      <c r="F80" s="36"/>
      <c r="G80" s="36"/>
      <c r="H80" s="36"/>
    </row>
    <row r="81" spans="1:8">
      <c r="A81" s="36"/>
      <c r="B81" s="36"/>
      <c r="C81" s="36"/>
      <c r="D81" s="36"/>
      <c r="E81" s="36"/>
      <c r="F81" s="36"/>
      <c r="G81" s="36"/>
      <c r="H81" s="36"/>
    </row>
    <row r="82" spans="1:8">
      <c r="A82" s="36"/>
      <c r="B82" s="36"/>
      <c r="C82" s="36"/>
      <c r="D82" s="36"/>
      <c r="E82" s="36"/>
      <c r="F82" s="36"/>
      <c r="G82" s="36"/>
      <c r="H82" s="36"/>
    </row>
    <row r="83" spans="1:8">
      <c r="A83" s="36"/>
      <c r="B83" s="36"/>
      <c r="C83" s="36"/>
      <c r="D83" s="36"/>
      <c r="E83" s="36"/>
      <c r="F83" s="36"/>
      <c r="G83" s="36"/>
      <c r="H83" s="36"/>
    </row>
    <row r="84" spans="1:8">
      <c r="A84" s="36"/>
      <c r="B84" s="36"/>
      <c r="C84" s="36"/>
      <c r="D84" s="36"/>
      <c r="E84" s="36"/>
      <c r="F84" s="36"/>
      <c r="G84" s="36"/>
      <c r="H84" s="36"/>
    </row>
    <row r="85" spans="1:8">
      <c r="A85" s="36"/>
      <c r="B85" s="36"/>
      <c r="C85" s="36"/>
      <c r="D85" s="36"/>
      <c r="E85" s="36"/>
      <c r="F85" s="36"/>
      <c r="G85" s="36"/>
      <c r="H85" s="36"/>
    </row>
    <row r="86" spans="1:8">
      <c r="A86" s="36"/>
      <c r="B86" s="36"/>
      <c r="C86" s="36"/>
      <c r="D86" s="36"/>
      <c r="E86" s="36"/>
      <c r="F86" s="36"/>
      <c r="G86" s="36"/>
      <c r="H86" s="36"/>
    </row>
    <row r="87" spans="1:8">
      <c r="A87" s="36"/>
      <c r="B87" s="36"/>
      <c r="C87" s="36"/>
      <c r="D87" s="36"/>
      <c r="E87" s="36"/>
      <c r="F87" s="36"/>
      <c r="G87" s="36"/>
      <c r="H87" s="36"/>
    </row>
    <row r="88" spans="1:8">
      <c r="A88" s="36"/>
      <c r="B88" s="36"/>
      <c r="C88" s="36"/>
      <c r="D88" s="36"/>
      <c r="E88" s="36"/>
      <c r="F88" s="36"/>
      <c r="G88" s="36"/>
      <c r="H88" s="36"/>
    </row>
    <row r="89" spans="1:8">
      <c r="A89" s="36"/>
      <c r="B89" s="36"/>
      <c r="C89" s="36"/>
      <c r="D89" s="36"/>
      <c r="E89" s="36"/>
      <c r="F89" s="36"/>
      <c r="G89" s="36"/>
      <c r="H89" s="36"/>
    </row>
    <row r="90" spans="1:8">
      <c r="A90" s="36"/>
      <c r="B90" s="36"/>
      <c r="C90" s="36"/>
      <c r="D90" s="36"/>
      <c r="E90" s="36"/>
      <c r="F90" s="36"/>
      <c r="G90" s="36"/>
      <c r="H90" s="36"/>
    </row>
    <row r="91" spans="1:8">
      <c r="A91" s="36"/>
      <c r="B91" s="36"/>
      <c r="C91" s="36"/>
      <c r="D91" s="36"/>
      <c r="E91" s="36"/>
      <c r="F91" s="36"/>
      <c r="G91" s="36"/>
      <c r="H91" s="36"/>
    </row>
    <row r="92" spans="1:8">
      <c r="A92" s="36"/>
      <c r="B92" s="36"/>
      <c r="C92" s="36"/>
      <c r="D92" s="36"/>
      <c r="E92" s="36"/>
      <c r="F92" s="36"/>
      <c r="G92" s="36"/>
      <c r="H92" s="36"/>
    </row>
    <row r="93" spans="1:8">
      <c r="A93" s="36"/>
      <c r="B93" s="36"/>
      <c r="C93" s="36"/>
      <c r="D93" s="36"/>
      <c r="E93" s="36"/>
      <c r="F93" s="36"/>
      <c r="G93" s="36"/>
      <c r="H93" s="36"/>
    </row>
    <row r="94" spans="1:8">
      <c r="A94" s="36"/>
      <c r="B94" s="36"/>
      <c r="C94" s="36"/>
      <c r="D94" s="36"/>
      <c r="E94" s="36"/>
      <c r="F94" s="36"/>
      <c r="G94" s="36"/>
      <c r="H94" s="36"/>
    </row>
    <row r="95" spans="1:8">
      <c r="A95" s="36"/>
      <c r="B95" s="36"/>
      <c r="C95" s="36"/>
      <c r="D95" s="36"/>
      <c r="E95" s="36"/>
      <c r="F95" s="36"/>
      <c r="G95" s="36"/>
      <c r="H95" s="36"/>
    </row>
    <row r="96" spans="1:8">
      <c r="A96" s="36"/>
      <c r="B96" s="36"/>
      <c r="C96" s="36"/>
      <c r="D96" s="36"/>
      <c r="E96" s="36"/>
      <c r="F96" s="36"/>
      <c r="G96" s="36"/>
      <c r="H96" s="36"/>
    </row>
    <row r="97" spans="1:8">
      <c r="A97" s="36"/>
      <c r="B97" s="36"/>
      <c r="C97" s="36"/>
      <c r="D97" s="36"/>
      <c r="E97" s="36"/>
      <c r="F97" s="36"/>
      <c r="G97" s="36"/>
      <c r="H97" s="36"/>
    </row>
    <row r="98" spans="1:8">
      <c r="A98" s="36"/>
      <c r="B98" s="36"/>
      <c r="C98" s="36"/>
      <c r="D98" s="36"/>
      <c r="E98" s="36"/>
      <c r="F98" s="36"/>
      <c r="G98" s="36"/>
      <c r="H98" s="36"/>
    </row>
    <row r="99" spans="1:8">
      <c r="A99" s="36"/>
      <c r="B99" s="36"/>
      <c r="C99" s="36"/>
      <c r="D99" s="36"/>
      <c r="E99" s="36"/>
      <c r="F99" s="36"/>
      <c r="G99" s="36"/>
      <c r="H99" s="36"/>
    </row>
    <row r="100" spans="1:8">
      <c r="A100" s="36"/>
      <c r="B100" s="36"/>
      <c r="C100" s="36"/>
      <c r="D100" s="36"/>
      <c r="E100" s="36"/>
      <c r="F100" s="36"/>
      <c r="G100" s="36"/>
      <c r="H100" s="36"/>
    </row>
    <row r="101" spans="1:8">
      <c r="A101" s="36"/>
      <c r="B101" s="36"/>
      <c r="C101" s="36"/>
      <c r="D101" s="36"/>
      <c r="E101" s="36"/>
      <c r="F101" s="36"/>
      <c r="G101" s="36"/>
      <c r="H101" s="36"/>
    </row>
    <row r="102" spans="1:8">
      <c r="A102" s="36"/>
      <c r="B102" s="36"/>
      <c r="C102" s="36"/>
      <c r="D102" s="36"/>
      <c r="E102" s="36"/>
      <c r="F102" s="36"/>
      <c r="G102" s="36"/>
      <c r="H102" s="36"/>
    </row>
    <row r="103" spans="1:8">
      <c r="A103" s="36"/>
      <c r="B103" s="36"/>
      <c r="C103" s="36"/>
      <c r="D103" s="36"/>
      <c r="E103" s="36"/>
      <c r="F103" s="36"/>
      <c r="G103" s="36"/>
      <c r="H103" s="36"/>
    </row>
    <row r="104" spans="1:8">
      <c r="A104" s="36"/>
      <c r="B104" s="36"/>
      <c r="C104" s="36"/>
      <c r="D104" s="36"/>
      <c r="E104" s="36"/>
      <c r="F104" s="36"/>
      <c r="G104" s="36"/>
      <c r="H104" s="36"/>
    </row>
    <row r="105" spans="1:8">
      <c r="A105" s="36"/>
      <c r="B105" s="36"/>
      <c r="C105" s="36"/>
      <c r="D105" s="36"/>
      <c r="E105" s="36"/>
      <c r="F105" s="36"/>
      <c r="G105" s="36"/>
      <c r="H105" s="36"/>
    </row>
    <row r="106" spans="1:8">
      <c r="A106" s="36"/>
      <c r="B106" s="36"/>
      <c r="C106" s="36"/>
      <c r="D106" s="36"/>
      <c r="E106" s="36"/>
      <c r="F106" s="36"/>
      <c r="G106" s="36"/>
      <c r="H106" s="36"/>
    </row>
    <row r="107" spans="1:8">
      <c r="A107" s="36"/>
      <c r="B107" s="36"/>
      <c r="C107" s="36"/>
      <c r="D107" s="36"/>
      <c r="E107" s="36"/>
      <c r="F107" s="36"/>
      <c r="G107" s="36"/>
      <c r="H107" s="36"/>
    </row>
    <row r="108" spans="1:8">
      <c r="A108" s="36"/>
      <c r="B108" s="36"/>
      <c r="C108" s="36"/>
      <c r="D108" s="36"/>
      <c r="E108" s="36"/>
      <c r="F108" s="36"/>
      <c r="G108" s="36"/>
      <c r="H108" s="36"/>
    </row>
    <row r="109" spans="1:8">
      <c r="A109" s="36"/>
      <c r="B109" s="36"/>
      <c r="C109" s="36"/>
      <c r="D109" s="36"/>
      <c r="E109" s="36"/>
      <c r="F109" s="36"/>
      <c r="G109" s="36"/>
      <c r="H109" s="36"/>
    </row>
    <row r="110" spans="1:8">
      <c r="A110" s="36"/>
      <c r="B110" s="36"/>
      <c r="C110" s="36"/>
      <c r="D110" s="36"/>
      <c r="E110" s="36"/>
      <c r="F110" s="36"/>
      <c r="G110" s="36"/>
      <c r="H110" s="36"/>
    </row>
    <row r="111" spans="1:8">
      <c r="A111" s="36"/>
      <c r="B111" s="36"/>
      <c r="C111" s="36"/>
      <c r="D111" s="36"/>
      <c r="E111" s="36"/>
      <c r="F111" s="36"/>
      <c r="G111" s="36"/>
      <c r="H111" s="36"/>
    </row>
    <row r="112" spans="1:8">
      <c r="A112" s="36"/>
      <c r="B112" s="36"/>
      <c r="C112" s="36"/>
      <c r="D112" s="36"/>
      <c r="E112" s="36"/>
      <c r="F112" s="36"/>
      <c r="G112" s="36"/>
      <c r="H112" s="36"/>
    </row>
    <row r="113" spans="1:8">
      <c r="A113" s="36"/>
      <c r="B113" s="36"/>
      <c r="C113" s="36"/>
      <c r="D113" s="36"/>
      <c r="E113" s="36"/>
      <c r="F113" s="36"/>
      <c r="G113" s="36"/>
      <c r="H113" s="36"/>
    </row>
    <row r="114" spans="1:8">
      <c r="A114" s="36"/>
      <c r="B114" s="36"/>
      <c r="C114" s="36"/>
      <c r="D114" s="36"/>
      <c r="E114" s="36"/>
      <c r="F114" s="36"/>
      <c r="G114" s="36"/>
      <c r="H114" s="36"/>
    </row>
    <row r="115" spans="1:8">
      <c r="A115" s="36"/>
      <c r="B115" s="36"/>
      <c r="C115" s="36"/>
      <c r="D115" s="36"/>
      <c r="E115" s="36"/>
      <c r="F115" s="36"/>
      <c r="G115" s="36"/>
      <c r="H115" s="36"/>
    </row>
    <row r="116" spans="1:8">
      <c r="A116" s="36"/>
      <c r="B116" s="36"/>
      <c r="C116" s="36"/>
      <c r="D116" s="36"/>
      <c r="E116" s="36"/>
      <c r="F116" s="36"/>
      <c r="G116" s="36"/>
      <c r="H116" s="36"/>
    </row>
    <row r="117" spans="1:8">
      <c r="A117" s="36"/>
      <c r="B117" s="36"/>
      <c r="C117" s="36"/>
      <c r="D117" s="36"/>
      <c r="E117" s="36"/>
      <c r="F117" s="36"/>
      <c r="G117" s="36"/>
      <c r="H117" s="36"/>
    </row>
    <row r="118" spans="1:8">
      <c r="A118" s="36"/>
      <c r="B118" s="36"/>
      <c r="C118" s="36"/>
      <c r="D118" s="36"/>
      <c r="E118" s="36"/>
      <c r="F118" s="36"/>
      <c r="G118" s="36"/>
      <c r="H118" s="36"/>
    </row>
    <row r="119" spans="1:8">
      <c r="A119" s="36"/>
      <c r="B119" s="36"/>
      <c r="C119" s="36"/>
      <c r="D119" s="36"/>
      <c r="E119" s="36"/>
      <c r="F119" s="36"/>
      <c r="G119" s="36"/>
      <c r="H119" s="36"/>
    </row>
    <row r="120" spans="1:8">
      <c r="A120" s="36"/>
      <c r="B120" s="36"/>
      <c r="C120" s="36"/>
      <c r="D120" s="36"/>
      <c r="E120" s="36"/>
      <c r="F120" s="36"/>
      <c r="G120" s="36"/>
      <c r="H120" s="36"/>
    </row>
    <row r="121" spans="1:8">
      <c r="A121" s="36"/>
      <c r="B121" s="36"/>
      <c r="C121" s="36"/>
      <c r="D121" s="36"/>
      <c r="E121" s="36"/>
      <c r="F121" s="36"/>
      <c r="G121" s="36"/>
      <c r="H121" s="36"/>
    </row>
    <row r="122" spans="1:8">
      <c r="A122" s="36"/>
      <c r="B122" s="36"/>
      <c r="C122" s="36"/>
      <c r="D122" s="36"/>
      <c r="E122" s="36"/>
      <c r="F122" s="36"/>
      <c r="G122" s="36"/>
      <c r="H122" s="36"/>
    </row>
    <row r="123" spans="1:8">
      <c r="A123" s="36"/>
      <c r="B123" s="36"/>
      <c r="C123" s="36"/>
      <c r="D123" s="36"/>
      <c r="E123" s="36"/>
      <c r="F123" s="36"/>
      <c r="G123" s="36"/>
      <c r="H123" s="36"/>
    </row>
    <row r="124" spans="1:8">
      <c r="A124" s="36"/>
      <c r="B124" s="36"/>
      <c r="C124" s="36"/>
      <c r="D124" s="36"/>
      <c r="E124" s="36"/>
      <c r="F124" s="36"/>
      <c r="G124" s="36"/>
      <c r="H124" s="36"/>
    </row>
    <row r="125" spans="1:8">
      <c r="A125" s="36"/>
      <c r="B125" s="36"/>
      <c r="C125" s="36"/>
      <c r="D125" s="36"/>
      <c r="E125" s="36"/>
      <c r="F125" s="36"/>
      <c r="G125" s="36"/>
      <c r="H125" s="36"/>
    </row>
    <row r="126" spans="1:8">
      <c r="A126" s="36"/>
      <c r="B126" s="36"/>
      <c r="C126" s="36"/>
      <c r="D126" s="36"/>
      <c r="E126" s="36"/>
      <c r="F126" s="36"/>
      <c r="G126" s="36"/>
      <c r="H126" s="36"/>
    </row>
    <row r="127" spans="1:8">
      <c r="A127" s="36"/>
      <c r="B127" s="36"/>
      <c r="C127" s="36"/>
      <c r="D127" s="36"/>
      <c r="E127" s="36"/>
      <c r="F127" s="36"/>
      <c r="G127" s="36"/>
      <c r="H127" s="36"/>
    </row>
    <row r="128" spans="1:8">
      <c r="A128" s="36"/>
      <c r="B128" s="36"/>
      <c r="C128" s="36"/>
      <c r="D128" s="36"/>
      <c r="E128" s="36"/>
      <c r="F128" s="36"/>
      <c r="G128" s="36"/>
      <c r="H128" s="36"/>
    </row>
    <row r="129" spans="1:8">
      <c r="A129" s="36"/>
      <c r="B129" s="36"/>
      <c r="C129" s="36"/>
      <c r="D129" s="36"/>
      <c r="E129" s="36"/>
      <c r="F129" s="36"/>
      <c r="G129" s="36"/>
      <c r="H129" s="36"/>
    </row>
    <row r="130" spans="1:8">
      <c r="A130" s="36"/>
      <c r="B130" s="36"/>
      <c r="C130" s="36"/>
      <c r="D130" s="36"/>
      <c r="E130" s="36"/>
      <c r="F130" s="36"/>
      <c r="G130" s="36"/>
      <c r="H130" s="36"/>
    </row>
    <row r="131" spans="1:8">
      <c r="A131" s="50"/>
      <c r="B131" s="51" t="s">
        <v>363</v>
      </c>
      <c r="C131" s="52" t="s">
        <v>364</v>
      </c>
      <c r="D131" s="61" t="s">
        <v>365</v>
      </c>
      <c r="E131" s="52" t="s">
        <v>366</v>
      </c>
      <c r="F131" s="52" t="s">
        <v>367</v>
      </c>
      <c r="G131" s="62" t="s">
        <v>368</v>
      </c>
      <c r="H131" s="63" t="s">
        <v>369</v>
      </c>
    </row>
    <row r="132" spans="1:8">
      <c r="A132" s="50"/>
      <c r="B132" s="53">
        <v>1</v>
      </c>
      <c r="C132" s="54" t="s">
        <v>370</v>
      </c>
      <c r="D132" s="64" t="e">
        <f>'[2]Test cases'!A5</f>
        <v>#REF!</v>
      </c>
      <c r="E132" s="64">
        <f>'[1]Test cases'!B5</f>
        <v>22</v>
      </c>
      <c r="F132" s="64" t="str">
        <f>'[1]Test cases'!C6</f>
        <v>%</v>
      </c>
      <c r="G132" s="64" t="str">
        <f>'[1]Test cases'!D6</f>
        <v>%</v>
      </c>
      <c r="H132" s="64" t="e">
        <f>SUM(D132:G132)</f>
        <v>#REF!</v>
      </c>
    </row>
    <row r="133" spans="1:8">
      <c r="A133" s="50"/>
      <c r="B133" s="53">
        <v>2</v>
      </c>
      <c r="C133" s="55" t="s">
        <v>371</v>
      </c>
      <c r="D133" s="64"/>
      <c r="E133" s="64"/>
      <c r="F133" s="64"/>
      <c r="G133" s="64"/>
      <c r="H133" s="64"/>
    </row>
    <row r="134" spans="1:8">
      <c r="A134" s="50"/>
      <c r="B134" s="53">
        <v>3</v>
      </c>
      <c r="C134" s="55" t="s">
        <v>372</v>
      </c>
      <c r="D134" s="64"/>
      <c r="E134" s="64"/>
      <c r="F134" s="64"/>
      <c r="G134" s="64"/>
      <c r="H134" s="64"/>
    </row>
    <row r="135" spans="1:8">
      <c r="A135" s="50"/>
      <c r="B135" s="53">
        <v>4</v>
      </c>
      <c r="C135" s="55" t="s">
        <v>373</v>
      </c>
      <c r="D135" s="64"/>
      <c r="E135" s="64"/>
      <c r="F135" s="64"/>
      <c r="G135" s="64"/>
      <c r="H135" s="64"/>
    </row>
    <row r="136" spans="1:8">
      <c r="A136" s="50"/>
      <c r="B136" s="53">
        <v>5</v>
      </c>
      <c r="C136" s="55" t="s">
        <v>374</v>
      </c>
      <c r="D136" s="64"/>
      <c r="E136" s="64"/>
      <c r="F136" s="64"/>
      <c r="G136" s="64"/>
      <c r="H136" s="64"/>
    </row>
    <row r="137" spans="1:8">
      <c r="A137" s="50"/>
      <c r="B137" s="53">
        <v>6</v>
      </c>
      <c r="C137" s="55" t="s">
        <v>375</v>
      </c>
      <c r="D137" s="64"/>
      <c r="E137" s="64"/>
      <c r="F137" s="64"/>
      <c r="G137" s="64"/>
      <c r="H137" s="64"/>
    </row>
    <row r="138" spans="1:8">
      <c r="A138" s="50"/>
      <c r="B138" s="53">
        <v>7</v>
      </c>
      <c r="C138" s="56" t="s">
        <v>376</v>
      </c>
      <c r="D138" s="64"/>
      <c r="E138" s="64"/>
      <c r="F138" s="64"/>
      <c r="G138" s="64"/>
      <c r="H138" s="64"/>
    </row>
    <row r="139" spans="1:8">
      <c r="A139" s="50"/>
      <c r="B139" s="53">
        <v>8</v>
      </c>
      <c r="C139" s="55" t="s">
        <v>377</v>
      </c>
      <c r="D139" s="64"/>
      <c r="E139" s="64"/>
      <c r="F139" s="64"/>
      <c r="G139" s="64"/>
      <c r="H139" s="64"/>
    </row>
    <row r="140" spans="1:8">
      <c r="A140" s="50"/>
      <c r="B140" s="53">
        <v>9</v>
      </c>
      <c r="C140" s="55" t="s">
        <v>378</v>
      </c>
      <c r="D140" s="64"/>
      <c r="E140" s="64"/>
      <c r="F140" s="64"/>
      <c r="G140" s="64"/>
      <c r="H140" s="64"/>
    </row>
    <row r="141" spans="1:8">
      <c r="A141" s="50"/>
      <c r="B141" s="53">
        <v>10</v>
      </c>
      <c r="C141" s="56"/>
      <c r="D141" s="64"/>
      <c r="E141" s="64"/>
      <c r="F141" s="64"/>
      <c r="G141" s="64"/>
      <c r="H141" s="64"/>
    </row>
    <row r="142" spans="1:8">
      <c r="A142" s="50"/>
      <c r="B142" s="53">
        <v>11</v>
      </c>
      <c r="C142" s="56"/>
      <c r="D142" s="64"/>
      <c r="E142" s="64"/>
      <c r="F142" s="64"/>
      <c r="G142" s="64"/>
      <c r="H142" s="64"/>
    </row>
    <row r="143" spans="1:8">
      <c r="A143" s="50"/>
      <c r="B143" s="57"/>
      <c r="C143" s="58" t="s">
        <v>379</v>
      </c>
      <c r="D143" s="65" t="e">
        <f>SUM(D132:D142)</f>
        <v>#REF!</v>
      </c>
      <c r="E143" s="65">
        <f>SUM(E132:E142)</f>
        <v>22</v>
      </c>
      <c r="F143" s="65">
        <f>SUM(F132:F142)</f>
        <v>0</v>
      </c>
      <c r="G143" s="65">
        <f>SUM(G132:G142)</f>
        <v>0</v>
      </c>
      <c r="H143" s="66" t="e">
        <f>SUM(H132:H142)</f>
        <v>#REF!</v>
      </c>
    </row>
    <row r="144" spans="1:8">
      <c r="A144" s="36"/>
      <c r="B144" s="67"/>
      <c r="C144" s="36"/>
      <c r="D144" s="68"/>
      <c r="E144" s="69"/>
      <c r="F144" s="69"/>
      <c r="G144" s="69"/>
      <c r="H144" s="69"/>
    </row>
    <row r="145" spans="1:8">
      <c r="A145" s="36"/>
      <c r="B145" s="36"/>
      <c r="C145" s="60" t="s">
        <v>380</v>
      </c>
      <c r="D145" s="36"/>
      <c r="E145" s="70" t="e">
        <f>($D143+$E143)*100/$H143</f>
        <v>#REF!</v>
      </c>
      <c r="F145" s="36" t="s">
        <v>382</v>
      </c>
      <c r="G145" s="36"/>
      <c r="H145" s="71"/>
    </row>
    <row r="146" spans="1:8">
      <c r="A146" s="36"/>
      <c r="B146" s="36"/>
      <c r="C146" s="60" t="s">
        <v>381</v>
      </c>
      <c r="D146" s="36"/>
      <c r="E146" s="70" t="e">
        <f>$D143*100/($D143+$G143)</f>
        <v>#REF!</v>
      </c>
      <c r="F146" s="36" t="s">
        <v>382</v>
      </c>
      <c r="G146" s="36"/>
      <c r="H146" s="71"/>
    </row>
    <row r="150" spans="1:8">
      <c r="A150" s="50"/>
      <c r="B150" s="51"/>
      <c r="C150" s="52"/>
      <c r="D150" s="52"/>
      <c r="E150" s="52"/>
      <c r="F150" s="52"/>
      <c r="G150" s="52"/>
      <c r="H150" s="52"/>
    </row>
    <row r="151" spans="1:8">
      <c r="A151" s="50"/>
      <c r="B151" s="53"/>
      <c r="C151" s="54"/>
      <c r="D151" s="53"/>
      <c r="E151" s="53"/>
      <c r="F151" s="53"/>
      <c r="G151" s="53"/>
      <c r="H151" s="53"/>
    </row>
    <row r="152" spans="1:8">
      <c r="A152" s="50"/>
      <c r="B152" s="53"/>
      <c r="C152" s="55"/>
      <c r="D152" s="53"/>
      <c r="E152" s="53"/>
      <c r="F152" s="53"/>
      <c r="G152" s="53"/>
      <c r="H152" s="53"/>
    </row>
    <row r="153" spans="1:8">
      <c r="A153" s="50"/>
      <c r="B153" s="53"/>
      <c r="C153" s="55"/>
      <c r="D153" s="53"/>
      <c r="E153" s="53"/>
      <c r="F153" s="53"/>
      <c r="G153" s="53"/>
      <c r="H153" s="53"/>
    </row>
    <row r="154" spans="1:8">
      <c r="A154" s="50"/>
      <c r="B154" s="53"/>
      <c r="C154" s="55"/>
      <c r="D154" s="53"/>
      <c r="E154" s="53"/>
      <c r="F154" s="53"/>
      <c r="G154" s="53"/>
      <c r="H154" s="53"/>
    </row>
    <row r="155" spans="1:8">
      <c r="A155" s="50"/>
      <c r="B155" s="53"/>
      <c r="C155" s="55"/>
      <c r="D155" s="53"/>
      <c r="E155" s="53"/>
      <c r="F155" s="53"/>
      <c r="G155" s="53"/>
      <c r="H155" s="53"/>
    </row>
    <row r="156" spans="1:8">
      <c r="A156" s="50"/>
      <c r="B156" s="53"/>
      <c r="C156" s="55"/>
      <c r="D156" s="53"/>
      <c r="E156" s="53"/>
      <c r="F156" s="53"/>
      <c r="G156" s="53"/>
      <c r="H156" s="53"/>
    </row>
    <row r="157" spans="1:8">
      <c r="A157" s="50"/>
      <c r="B157" s="53"/>
      <c r="C157" s="56"/>
      <c r="D157" s="53"/>
      <c r="E157" s="53"/>
      <c r="F157" s="53"/>
      <c r="G157" s="53"/>
      <c r="H157" s="53"/>
    </row>
    <row r="158" spans="1:8">
      <c r="A158" s="50"/>
      <c r="B158" s="53"/>
      <c r="C158" s="55"/>
      <c r="D158" s="53"/>
      <c r="E158" s="53"/>
      <c r="F158" s="53"/>
      <c r="G158" s="53"/>
      <c r="H158" s="53"/>
    </row>
    <row r="159" spans="1:8">
      <c r="A159" s="50"/>
      <c r="B159" s="53"/>
      <c r="C159" s="56"/>
      <c r="D159" s="53"/>
      <c r="E159" s="53"/>
      <c r="F159" s="53"/>
      <c r="G159" s="53"/>
      <c r="H159" s="53"/>
    </row>
    <row r="160" spans="1:8">
      <c r="A160" s="50"/>
      <c r="B160" s="53"/>
      <c r="C160" s="56"/>
      <c r="D160" s="53"/>
      <c r="E160" s="53"/>
      <c r="F160" s="53"/>
      <c r="G160" s="53"/>
      <c r="H160" s="53"/>
    </row>
    <row r="161" spans="1:8">
      <c r="A161" s="50"/>
      <c r="B161" s="53"/>
      <c r="C161" s="56"/>
      <c r="D161" s="53"/>
      <c r="E161" s="53"/>
      <c r="F161" s="53"/>
      <c r="G161" s="53"/>
      <c r="H161" s="53"/>
    </row>
    <row r="162" spans="1:8">
      <c r="A162" s="50"/>
      <c r="B162" s="57"/>
      <c r="C162" s="58"/>
      <c r="D162" s="59"/>
      <c r="E162" s="59"/>
      <c r="F162" s="59"/>
      <c r="G162" s="59"/>
      <c r="H162" s="59"/>
    </row>
    <row r="165" spans="3:3">
      <c r="C165" s="60"/>
    </row>
    <row r="166" spans="3:3">
      <c r="C166" s="60"/>
    </row>
  </sheetData>
  <mergeCells count="11">
    <mergeCell ref="B1:H1"/>
    <mergeCell ref="C3:D3"/>
    <mergeCell ref="E3:F3"/>
    <mergeCell ref="G3:H3"/>
    <mergeCell ref="C4:D4"/>
    <mergeCell ref="E4:F4"/>
    <mergeCell ref="G4:H4"/>
    <mergeCell ref="C5:D5"/>
    <mergeCell ref="E5:F5"/>
    <mergeCell ref="G5:H5"/>
    <mergeCell ref="C6:H6"/>
  </mergeCells>
  <hyperlinks>
    <hyperlink ref="C10" location="'Đăng nhập'!A1" display="Đăng nhập"/>
    <hyperlink ref="C11" location="'Đăng ký'!A1" display="Đăng ký"/>
    <hyperlink ref="C12" location="'Quên mật khẩu'!A1" display="Quên mật khẩu"/>
    <hyperlink ref="C13" location="'Tìm kiếm'!A1" display="Tìm kiếm"/>
    <hyperlink ref="C14" location="'Xem chi tiết sản phẩm'!A1" display="Xem chi tiết sản phẩm"/>
    <hyperlink ref="C15" location="'Xem tin tức, bình luận'!A1" display="Xem tin tức, bình luận"/>
    <hyperlink ref="C16" location="'Danh mục'!A1" display="Danh mục"/>
    <hyperlink ref="C17" location="'Giỏ hàng'!A1" display="Giỏ hàng"/>
    <hyperlink ref="C140" location="'Đặt hàng'!A1" display="Đặt hàng"/>
    <hyperlink ref="C139" location="'Giỏ hàng'!A1" display="Giỏ hàng"/>
    <hyperlink ref="C138" location="'Danh mục'!A1" display="Danh mục"/>
    <hyperlink ref="C137" location="'Xem tin tức, bình luận'!A1" display="Xem tin tức, bình luận"/>
    <hyperlink ref="C136" location="'Xem chi tiết sản phẩm'!A1" display="Xem chi tiết sản phẩm"/>
    <hyperlink ref="C135" location="'Tìm kiếm'!A1" display="Tìm kiếm"/>
    <hyperlink ref="C134" location="'Quên mật khẩu'!A1" display="Quên mật khẩu"/>
    <hyperlink ref="C133" location="'Đăng ký'!A1" display="Đăng ký"/>
    <hyperlink ref="C132" location="'Đăng nhập'!A1" display="Đăng nhập"/>
    <hyperlink ref="C18" location="'Đặt hàng'!A1" display="Đặt hàng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G9" sqref="G9"/>
    </sheetView>
  </sheetViews>
  <sheetFormatPr defaultColWidth="9.14285714285714" defaultRowHeight="15" outlineLevelCol="6"/>
  <cols>
    <col min="2" max="2" width="16.8571428571429" customWidth="1"/>
    <col min="6" max="6" width="24.2857142857143" customWidth="1"/>
    <col min="7" max="7" width="49.8571428571429" customWidth="1"/>
  </cols>
  <sheetData>
    <row r="1" spans="1:7">
      <c r="A1" s="1"/>
      <c r="B1" s="2"/>
      <c r="C1" s="1"/>
      <c r="D1" s="1"/>
      <c r="E1" s="1"/>
      <c r="F1" s="1"/>
      <c r="G1" s="1"/>
    </row>
    <row r="2" ht="27" spans="1:7">
      <c r="A2" s="3"/>
      <c r="B2" s="4"/>
      <c r="C2" s="5" t="s">
        <v>383</v>
      </c>
      <c r="D2" s="6"/>
      <c r="E2" s="6"/>
      <c r="F2" s="6"/>
      <c r="G2" s="7"/>
    </row>
    <row r="3" spans="1:7">
      <c r="A3" s="1"/>
      <c r="B3" s="8"/>
      <c r="C3" s="9"/>
      <c r="D3" s="1"/>
      <c r="E3" s="1"/>
      <c r="F3" s="10"/>
      <c r="G3" s="1"/>
    </row>
    <row r="4" spans="1:7">
      <c r="A4" s="1"/>
      <c r="B4" s="11" t="s">
        <v>354</v>
      </c>
      <c r="C4" s="12"/>
      <c r="D4" s="6"/>
      <c r="E4" s="7"/>
      <c r="F4" s="11" t="s">
        <v>356</v>
      </c>
      <c r="G4" s="13"/>
    </row>
    <row r="5" spans="1:7">
      <c r="A5" s="1"/>
      <c r="B5" s="11" t="s">
        <v>358</v>
      </c>
      <c r="C5" s="12"/>
      <c r="D5" s="6"/>
      <c r="E5" s="7"/>
      <c r="F5" s="11" t="s">
        <v>359</v>
      </c>
      <c r="G5" s="13"/>
    </row>
    <row r="6" spans="1:7">
      <c r="A6" s="1"/>
      <c r="B6" s="14" t="s">
        <v>360</v>
      </c>
      <c r="C6" s="15"/>
      <c r="D6" s="16"/>
      <c r="E6" s="17"/>
      <c r="F6" s="11" t="s">
        <v>361</v>
      </c>
      <c r="G6" s="18"/>
    </row>
    <row r="7" spans="1:7">
      <c r="A7" s="1"/>
      <c r="B7" s="19"/>
      <c r="C7" s="20"/>
      <c r="D7" s="21"/>
      <c r="E7" s="22"/>
      <c r="F7" s="11" t="s">
        <v>384</v>
      </c>
      <c r="G7" s="23"/>
    </row>
    <row r="8" spans="1:7">
      <c r="A8" s="1"/>
      <c r="B8" s="8"/>
      <c r="C8" s="9"/>
      <c r="D8" s="1"/>
      <c r="E8" s="1"/>
      <c r="F8" s="8"/>
      <c r="G8" s="9"/>
    </row>
    <row r="9" spans="1:7">
      <c r="A9" s="1"/>
      <c r="B9" s="2"/>
      <c r="C9" s="1"/>
      <c r="D9" s="1"/>
      <c r="E9" s="1"/>
      <c r="F9" s="1"/>
      <c r="G9" s="1"/>
    </row>
    <row r="10" spans="1:7">
      <c r="A10" s="1"/>
      <c r="B10" s="24" t="s">
        <v>385</v>
      </c>
      <c r="C10" s="1"/>
      <c r="D10" s="1"/>
      <c r="E10" s="1"/>
      <c r="F10" s="1"/>
      <c r="G10" s="1"/>
    </row>
    <row r="11" spans="1:7">
      <c r="A11" s="25"/>
      <c r="B11" s="26" t="s">
        <v>386</v>
      </c>
      <c r="C11" s="27" t="s">
        <v>387</v>
      </c>
      <c r="D11" s="27" t="s">
        <v>388</v>
      </c>
      <c r="E11" s="28" t="s">
        <v>389</v>
      </c>
      <c r="F11" s="28" t="s">
        <v>390</v>
      </c>
      <c r="G11" s="25"/>
    </row>
    <row r="12" spans="1:7">
      <c r="A12" s="1"/>
      <c r="B12" s="29"/>
      <c r="C12" s="30"/>
      <c r="D12" s="31"/>
      <c r="E12" s="32"/>
      <c r="F12" s="32"/>
      <c r="G12" s="1"/>
    </row>
    <row r="13" spans="1:7">
      <c r="A13" s="1"/>
      <c r="B13" s="29"/>
      <c r="C13" s="30"/>
      <c r="D13" s="33"/>
      <c r="E13" s="32"/>
      <c r="F13" s="32"/>
      <c r="G13" s="1"/>
    </row>
    <row r="14" spans="1:7">
      <c r="A14" s="1"/>
      <c r="B14" s="18"/>
      <c r="C14" s="30"/>
      <c r="D14" s="33"/>
      <c r="E14" s="32"/>
      <c r="F14" s="32"/>
      <c r="G14" s="1"/>
    </row>
    <row r="15" spans="1:7">
      <c r="A15" s="1"/>
      <c r="B15" s="18"/>
      <c r="C15" s="30"/>
      <c r="D15" s="33"/>
      <c r="E15" s="33"/>
      <c r="F15" s="34"/>
      <c r="G15" s="1"/>
    </row>
    <row r="16" spans="1:7">
      <c r="A16" s="1"/>
      <c r="B16" s="18"/>
      <c r="C16" s="30"/>
      <c r="D16" s="33"/>
      <c r="E16" s="33"/>
      <c r="F16" s="34"/>
      <c r="G16" s="1"/>
    </row>
    <row r="17" spans="1:7">
      <c r="A17" s="1"/>
      <c r="B17" s="18"/>
      <c r="C17" s="30"/>
      <c r="D17" s="33"/>
      <c r="E17" s="33"/>
      <c r="F17" s="34"/>
      <c r="G17" s="1"/>
    </row>
    <row r="18" spans="1:7">
      <c r="A18" s="1"/>
      <c r="B18" s="18"/>
      <c r="C18" s="30"/>
      <c r="D18" s="35"/>
      <c r="E18" s="33"/>
      <c r="F18" s="34"/>
      <c r="G18" s="1"/>
    </row>
  </sheetData>
  <mergeCells count="5">
    <mergeCell ref="C2:G2"/>
    <mergeCell ref="C4:E4"/>
    <mergeCell ref="C5:E5"/>
    <mergeCell ref="B6:B7"/>
    <mergeCell ref="C6:E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Checklist_Đăng nhập</vt:lpstr>
      <vt:lpstr>Checklist_Tìm kiếm</vt:lpstr>
      <vt:lpstr>Checklist_Trang chủ</vt:lpstr>
      <vt:lpstr>Checklist_GioHang</vt:lpstr>
      <vt:lpstr>Checklist_SanPham</vt:lpstr>
      <vt:lpstr>Checklist_DonHang</vt:lpstr>
      <vt:lpstr>Checklist_KhuyenMai</vt:lpstr>
      <vt:lpstr>Test_Report</vt:lpstr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bichngoc</dc:creator>
  <cp:lastModifiedBy>Ngọc Bích</cp:lastModifiedBy>
  <dcterms:created xsi:type="dcterms:W3CDTF">2024-11-29T06:57:00Z</dcterms:created>
  <dcterms:modified xsi:type="dcterms:W3CDTF">2025-10-20T08:51:19Z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CD6A2593203E4920A78E3FB4E5E1EA4C_13</vt:lpwstr>
  </property>
  <property fmtid="{D5CDD505-2E9C-101B-9397-08002B2CF9AE}" pid="3" name="KSOProductBuildVer">
    <vt:lpwstr>1033-12.2.0.23131</vt:lpwstr>
  </property>
</Properties>
</file>