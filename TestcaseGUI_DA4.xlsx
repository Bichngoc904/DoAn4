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50" firstSheet="1" activeTab="6"/>
  </bookViews>
  <sheets>
    <sheet name="Đăng nhập" sheetId="5" r:id="rId1"/>
    <sheet name="Tìm kiếm" sheetId="9" r:id="rId2"/>
    <sheet name="Trang chủ" sheetId="7" r:id="rId3"/>
    <sheet name="Giỏ hàng" sheetId="6" r:id="rId4"/>
    <sheet name="Sản phẩm" sheetId="1" r:id="rId5"/>
    <sheet name="Đơn Hàng" sheetId="10" r:id="rId6"/>
    <sheet name="Khuyến Mãi" sheetId="12" r:id="rId7"/>
    <sheet name="Test_Report" sheetId="2" r:id="rId8"/>
    <sheet name="Cover" sheetId="3" r:id="rId9"/>
  </sheets>
  <externalReferences>
    <externalReference r:id="rId10"/>
    <externalReference r:id="rId11"/>
  </externalReferences>
  <definedNames>
    <definedName name="Category" localSheetId="4">#REF!</definedName>
    <definedName name="Category">#REF!</definedName>
    <definedName name="Category" localSheetId="0">#REF!</definedName>
    <definedName name="Category" localSheetId="3">#REF!</definedName>
    <definedName name="Category" localSheetId="2">#REF!</definedName>
    <definedName name="Category" localSheetId="1">#REF!</definedName>
    <definedName name="Category" localSheetId="5">#REF!</definedName>
    <definedName name="Category" localSheetId="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<sst xmlns="http://schemas.openxmlformats.org/spreadsheetml/2006/main" count="773" uniqueCount="406">
  <si>
    <t>Item Test</t>
  </si>
  <si>
    <t>TC_UI_DN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</si>
  <si>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</si>
  <si>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</si>
  <si>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</si>
  <si>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Nguyễn Thị Bích Ngọc</t>
  </si>
  <si>
    <t>Pass</t>
  </si>
  <si>
    <t>Fail</t>
  </si>
  <si>
    <t>NT</t>
  </si>
  <si>
    <t>N/A</t>
  </si>
  <si>
    <t>Number of Test cases</t>
  </si>
  <si>
    <t>%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</si>
  <si>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</si>
  <si>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</si>
  <si>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</si>
  <si>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</si>
  <si>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</si>
  <si>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</si>
  <si>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</si>
  <si>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Note</t>
  </si>
  <si>
    <t>Kiểm tra hiển thị logo</t>
  </si>
  <si>
    <t>Form đăng nhập mở</t>
  </si>
  <si>
    <t>1. Truy cập URL https://kunmiu.com
2. Click Đăng nhập 
3. Quan sát phần đầu trang.</t>
  </si>
  <si>
    <t>Logo hiển thị rõ, đúng vị trí góc trái, không bị vỡ hình.</t>
  </si>
  <si>
    <t>Kiểm tra hiển thị tiêu đề “Đăng nhập”</t>
  </si>
  <si>
    <t>1. Truy cập trang đăng nhập.
2. Quan sát tiêu đề form.</t>
  </si>
  <si>
    <t>Tiêu đề “ĐĂNG NHẬP” hiển thị rõ ràng, đúng chính tả, font đồng nhất.</t>
  </si>
  <si>
    <t>Kiểm tra nhãn Email và Mật khẩu</t>
  </si>
  <si>
    <t>Form đăng nhập hiển thị</t>
  </si>
  <si>
    <t>1. Xem phần nhập liệu.
2. Kiểm tra các nhãn “Email*” và “Mật khẩu*”.</t>
  </si>
  <si>
    <t>Hai nhãn hiển thị đầy đủ, có dấu sao (*) thể hiện bắt buộc.</t>
  </si>
  <si>
    <t>Kiểm tra placeholder trong các trường nhập</t>
  </si>
  <si>
    <t>1. Click vào trường Email.
2. Click vào trường Mật khẩu.</t>
  </si>
  <si>
    <t>Placeholder hiển thị lần lượt “Email” và “Mật khẩu”.</t>
  </si>
  <si>
    <t>Kiểm tra căn chỉnh 2 khối “Đăng ký” và “Đăng nhập”</t>
  </si>
  <si>
    <t>Trang đăng nhập hiển thị</t>
  </si>
  <si>
    <t>1. Quan sát bố cục 2 khối form.
2. So sánh khoảng cách, căn lề.</t>
  </si>
  <si>
    <t>Hai khối cân đối, không lệch, khoảng cách hợp lý.</t>
  </si>
  <si>
    <t>Kiểm tra nút “Đăng nhập”</t>
  </si>
  <si>
    <t>1. Quan sát nút “Đăng nhập”.
2. Di chuột vào để kiểm tra hiệu ứng hover.</t>
  </si>
  <si>
    <t>Nút hiển thị rõ, màu nổi bật, hover đổi màu hoặc hiệu ứng nhẹ.</t>
  </si>
  <si>
    <t>Kiểm tra liên kết “Mất mật khẩu?”</t>
  </si>
  <si>
    <t>1. Click vào liên kết “Mất mật khẩu?”.</t>
  </si>
  <si>
    <t>Chuyển hướng sang trang khôi phục mật khẩu.</t>
  </si>
  <si>
    <t>Kiểm tra thông báo lỗi khi bỏ trống</t>
  </si>
  <si>
    <t>1. Để trống Email và Mật khẩu.
2. Click “Đăng nhập”.</t>
  </si>
  <si>
    <t>Hiển thị thông báo “Bắt buộc” màu đỏ dưới trường nhập.</t>
  </si>
  <si>
    <t>Kiểm tra giao diện responsive</t>
  </si>
  <si>
    <t>1. Thu nhỏ cửa sổ trình duyệt về kích thước mobile.
2. Quan sát bố cục form.</t>
  </si>
  <si>
    <t>Form tự động co giãn, không vỡ giao diện, nội dung hiển thị rõ.</t>
  </si>
  <si>
    <t>TC_Store</t>
  </si>
  <si>
    <t>Kiểm tra hiển thị dropdown “Chọn tỉnh thành”</t>
  </si>
  <si>
    <t>Người dùng truy cập trang Cửa hàng</t>
  </si>
  <si>
    <t>Quan sát dropdown “Chọn tỉnh thành”</t>
  </si>
  <si>
    <t>Dropdown hiển thị đầy đủ, font chữ rõ ràng, không lỗi căn chỉnh</t>
  </si>
  <si>
    <t>Kiểm tra hiển thị dropdown “Chọn quận huyện”</t>
  </si>
  <si>
    <t>Quan sát dropdown “Chọn quận huyện”</t>
  </si>
  <si>
    <t>Kiểm tra nút “Tìm kiếm”</t>
  </si>
  <si>
    <t>Quan sát nút “Tìm kiếm”</t>
  </si>
  <si>
    <t>Nút hiển thị màu đỏ, chữ rõ ràng, không lỗi font</t>
  </si>
  <si>
    <t>Kiểm tra hiệu ứng hover trên nút “Tìm kiếm”</t>
  </si>
  <si>
    <t>Di chuột vào nút “Tìm kiếm”</t>
  </si>
  <si>
    <t>Hover đổi màu/hiệu ứng đúng thiết kế</t>
  </si>
  <si>
    <t>Kiểm tra hiển thị tên cửa hàng trong danh sách</t>
  </si>
  <si>
    <t>Quan sát danh sách cửa hàng</t>
  </si>
  <si>
    <t>Tên cửa hàng hiển thị đầy đủ, chính tả đúng</t>
  </si>
  <si>
    <t>Kiểm tra hiển thị địa chỉ cửa hàng</t>
  </si>
  <si>
    <t>Địa chỉ hiển thị rõ ràng, không cắt chữ, căn chỉnh hợp lý</t>
  </si>
  <si>
    <t>Kiểm tra hiển thị số điện thoại cửa hàng</t>
  </si>
  <si>
    <t>Quan sát số điện thoại trong danh sách</t>
  </si>
  <si>
    <t>Hiển thị đúng định dạng, không mất chữ</t>
  </si>
  <si>
    <t>Kiểm tra hiển thị giờ mở cửa</t>
  </si>
  <si>
    <t>Quan sát giờ mở cửa</t>
  </si>
  <si>
    <t>Thông tin hiển thị rõ, định dạng giờ đúng</t>
  </si>
  <si>
    <t>Kiểm tra hiển thị icon trong danh sách cửa hàng</t>
  </si>
  <si>
    <t>Quan sát icon địa chỉ, điện thoại, đồng hồ</t>
  </si>
  <si>
    <t>Icon căn chỉnh đúng, không bị vỡ hình</t>
  </si>
  <si>
    <t>Kiểm tra căn chỉnh danh sách cửa hàng</t>
  </si>
  <si>
    <t>Quan sát toàn bộ danh sách</t>
  </si>
  <si>
    <t>Thông tin không chồng chéo, không lệch</t>
  </si>
  <si>
    <t>Kiểm tra hiển thị bản đồ Google Map</t>
  </si>
  <si>
    <t>Quan sát bản đồ tích hợp</t>
  </si>
  <si>
    <t>Bản đồ hiển thị đầy đủ, không bị che khuất</t>
  </si>
  <si>
    <t>Kiểm tra pin vị trí cửa hàng trên bản đồ</t>
  </si>
  <si>
    <t>Quan sát pin vị trí</t>
  </si>
  <si>
    <t>Pin hiển thị đúng vị trí cửa hàng</t>
  </si>
  <si>
    <t>Kiểm tra chế độ bản đồ/vệ tinh</t>
  </si>
  <si>
    <t>Chuyển đổi chế độ Bản đồ ↔ Vệ tinh</t>
  </si>
  <si>
    <t>Chế độ hiển thị chính xác, không bị lỗi</t>
  </si>
  <si>
    <t>Kiểm tra responsive trên mobile</t>
  </si>
  <si>
    <t>Người dùng mở trang Cửa hàng bằng mobile</t>
  </si>
  <si>
    <t>Quan sát giao diện</t>
  </si>
  <si>
    <t>Giao diện gọn gàng, không tràn, không mất chữ</t>
  </si>
  <si>
    <t>Kiểm tra responsive trên tablet</t>
  </si>
  <si>
    <t>Người dùng mở trang Cửa hàng bằng tablet</t>
  </si>
  <si>
    <t>Giao diện hiển thị đủ, căn chỉnh hợp lý</t>
  </si>
  <si>
    <t>Kiểm tra cuộn trang (scroll)</t>
  </si>
  <si>
    <t>Cuộn trang lên/xuống</t>
  </si>
  <si>
    <t>Cuộn mượt, không mất nội dung</t>
  </si>
  <si>
    <t>Kiểm tra hover trên danh sách cửa hàng</t>
  </si>
  <si>
    <t>Di chuột vào từng cửa hàng trong danh sách</t>
  </si>
  <si>
    <t>Hover highlight (nếu có) hiển thị đúng, không lỗi căn chỉnh</t>
  </si>
  <si>
    <t>Kiểm tra chính tả toàn bộ nội dung</t>
  </si>
  <si>
    <t>Đọc toàn bộ text</t>
  </si>
  <si>
    <t>Không có lỗi chính tả</t>
  </si>
  <si>
    <t>Kiểm tra font chữ</t>
  </si>
  <si>
    <t>Quan sát tất cả text</t>
  </si>
  <si>
    <t>Font chữ đồng nhất với toàn site</t>
  </si>
  <si>
    <t>Kiểm tra màu nền và chữ</t>
  </si>
  <si>
    <t>Quan sát background &amp; text</t>
  </si>
  <si>
    <t>Độ tương phản rõ, không gây khó nhìn</t>
  </si>
  <si>
    <t>TC_Home</t>
  </si>
  <si>
    <t>Kiểm tra hiển thị banner chính</t>
  </si>
  <si>
    <t>Trang chủ mở trên trình duyệt</t>
  </si>
  <si>
    <t>Quan sát banner đầu trang</t>
  </si>
  <si>
    <t>Banner hiển thị rõ, không vỡ hình, chữ không lỗi font</t>
  </si>
  <si>
    <t>Trang chủ Kún Miu mở</t>
  </si>
  <si>
    <t>1. Truy cập URL https://kunmiu.com
2. Quan sát vị trí logo</t>
  </si>
  <si>
    <t>Logo hiển thị rõ, đúng vị trí góc trái</t>
  </si>
  <si>
    <t>Kiểm tra thanh menu chính</t>
  </si>
  <si>
    <t>1. Quan sát thanh menu
2. Xem các mục: Trang chủ, Khuyến mãi, Sản phẩm...</t>
  </si>
  <si>
    <t>Tất cả mục hiển thị đúng, căn đều, không tràn chữ</t>
  </si>
  <si>
    <t>Kiểm tra ô tìm kiếm</t>
  </si>
  <si>
    <t>1. Quan sát thanh tìm kiếm
2. Kiểm tra placeholder và biểu tượng kính lúp</t>
  </si>
  <si>
    <t>Ô tìm kiếm hiển thị placeholder “Bạn muốn tìm gì...” và icon đúng vị trí</t>
  </si>
  <si>
    <t>Kiểm tra hiển thị nút hành động sản phẩm</t>
  </si>
  <si>
    <t>1. Quan sát mỗi sản phẩm 2. Kiểm tra có nút “Thêm vào giỏ” hoặc “Xem chi tiết”</t>
  </si>
  <si>
    <t>Nút hiển thị đầy đủ, click được, đúng vị trí</t>
  </si>
  <si>
    <t>Kiểm tra hình ảnh sản phẩm</t>
  </si>
  <si>
    <t>1. Quan sát tất cả ảnh sản phẩm 2. So sánh kích thước và hiển thị</t>
  </si>
  <si>
    <t>Tất cả ảnh có cùng kích thước, rõ ràng, không lỗi</t>
  </si>
  <si>
    <t>Kiểm tra khu vực “Sản phẩm bán chạy”</t>
  </si>
  <si>
    <t>1. Cuộn đến phần “Sản phẩm bán chạy” 2. Quan sát nhãn “Hot” hoặc “Sale”</t>
  </si>
  <si>
    <t>Hiển thị đúng vị trí, không che nội dung sản phẩm</t>
  </si>
  <si>
    <t>Kiểm tra hiển thị khu vực tin tức (nếu có)</t>
  </si>
  <si>
    <t>1. Cuộn đến phần “Tin tức” 2. Quan sát số lượng bài viết hiển thị</t>
  </si>
  <si>
    <t>Có ít nhất 2 bài viết, có ảnh, tiêu đề, mô tả ngắn</t>
  </si>
  <si>
    <t>Kiểm tra footer</t>
  </si>
  <si>
    <t>1. Cuộn xuống cuối trang 2. Quan sát thông tin hiển thị</t>
  </si>
  <si>
    <t>Hiển thị đủ thông tin liên hệ, chính sách, bản quyền</t>
  </si>
  <si>
    <t>Kiểm tra responsive giao diện</t>
  </si>
  <si>
    <t>1. Thu nhỏ cửa sổ trình duyệt hoặc mở trên mobile 2. Quan sát bố cục</t>
  </si>
  <si>
    <t>Giao diện co giãn hợp lý, không vỡ layout</t>
  </si>
  <si>
    <t>Kiểm tra màu sắc và font chữ nội dung chính</t>
  </si>
  <si>
    <t>Quan sát các tiêu đề, mô tả, nút</t>
  </si>
  <si>
    <t>Màu sắc đồng bộ với brand Jollibee (đỏ, vàng), font chữ rõ ràng, không lỗi</t>
  </si>
  <si>
    <t>TC_GH</t>
  </si>
  <si>
    <t>Kiểm tra hiển thị sản phẩm trong giỏ hàng</t>
  </si>
  <si>
    <t>Có sản phẩm trong giỏ</t>
  </si>
  <si>
    <t>1. Mở trang Giỏ hàng</t>
  </si>
  <si>
    <t>Danh sách sản phẩm hiển thị đầy đủ thông tin</t>
  </si>
  <si>
    <t>1. Quan sát ảnh hiển thị mỗi sản phẩm</t>
  </si>
  <si>
    <t>Ảnh đúng và rõ nét</t>
  </si>
  <si>
    <t>Kiểm tra chức năng nút “+” tăng số lượng</t>
  </si>
  <si>
    <t>Giỏ có ít nhất 1 sản phẩm</t>
  </si>
  <si>
    <t>1. Click nút “+” 2. Quan sát tổng tiền</t>
  </si>
  <si>
    <t>Số lượng tăng 1, tổng tiền cập nhật chính xác</t>
  </si>
  <si>
    <t>Kiểm tra nút “–” giảm số lượng</t>
  </si>
  <si>
    <t>Số lượng &gt; 1</t>
  </si>
  <si>
    <t>1. Click “–” 2. Quan sát tổng tiền</t>
  </si>
  <si>
    <t>Số lượng giảm 1, tổng tiền giảm đúng</t>
  </si>
  <si>
    <t>Kiểm tra nút xóa sản phẩm</t>
  </si>
  <si>
    <t>Có ≥ 1 sản phẩm</t>
  </si>
  <si>
    <t>1. Click biểu tượng “Xóa” 2. Quan sát giỏ</t>
  </si>
  <si>
    <t>Sản phẩm bị xóa khỏi danh sách</t>
  </si>
  <si>
    <t>Kiểm tra tổng tiền tự động cập nhật</t>
  </si>
  <si>
    <t>Có ≥ 2 sản phẩm</t>
  </si>
  <si>
    <t>1. Tăng số lượng 1 sản phẩm 2. Kiểm tra tổng tiền</t>
  </si>
  <si>
    <t>Tổng cộng cập nhật chính xác</t>
  </si>
  <si>
    <t>Kiểm tra hiển thị khi giỏ hàng trống</t>
  </si>
  <si>
    <t>Xóa hết sản phẩm</t>
  </si>
  <si>
    <t>1. Click xóa toàn bộ 2. Quan sát giao diện</t>
  </si>
  <si>
    <t>Hiển thị “Giỏ hàng trống”</t>
  </si>
  <si>
    <t>Kiểm tra nút “Tiếp tục mua hàng”</t>
  </si>
  <si>
    <t>1. Click “Tiếp tục mua hàng”</t>
  </si>
  <si>
    <t>Quay lại trang sản phẩm</t>
  </si>
  <si>
    <t>Kiểm tra nút “Tiến hành thanh toán”</t>
  </si>
  <si>
    <t>1. Click “Tiến hành thanh toán”</t>
  </si>
  <si>
    <t>Chuyển đến trang thanh toán</t>
  </si>
  <si>
    <t>Kiểm tra popup giỏ hàng mini</t>
  </si>
  <si>
    <t>Thêm sản phẩm mới</t>
  </si>
  <si>
    <t>1. Click “Thêm vào giỏ hàng” 2. Quan sát popup</t>
  </si>
  <si>
    <t>Popup hiển thị danh sách + tổng tiền + 2 nút</t>
  </si>
  <si>
    <t>Kiểm tra nút “Giỏ hàng” trong popup</t>
  </si>
  <si>
    <t>Popup hiển thị</t>
  </si>
  <si>
    <t>1. Click “Giỏ hàng”</t>
  </si>
  <si>
    <t>Dẫn tới trang giỏ hàng chính</t>
  </si>
  <si>
    <t>Kiểm tra nút “Thanh toán” trong popup</t>
  </si>
  <si>
    <t>1. Click “Thanh toán”</t>
  </si>
  <si>
    <t>Dẫn tới trang thanh toán</t>
  </si>
  <si>
    <t>Kiểm tra tính nhất quán tổng tiền giữa popup và trang chính</t>
  </si>
  <si>
    <t>1. So sánh tổng tiền 2 nơi</t>
  </si>
  <si>
    <t>Tổng tiền giống nhau</t>
  </si>
  <si>
    <t>Kiểm tra hiển thị số lượng trên biểu tượng giỏ hàng</t>
  </si>
  <si>
    <t>Có 2 sản phẩm</t>
  </si>
  <si>
    <t>1. Quan sát biểu tượng giỏ hàng</t>
  </si>
  <si>
    <t>Hiển thị số “2”</t>
  </si>
  <si>
    <t>Kiểm tra format tiền</t>
  </si>
  <si>
    <t>Có sản phẩm</t>
  </si>
  <si>
    <t>1. Quan sát giá và tổng tiền</t>
  </si>
  <si>
    <t>Có dấu “.” ngăn cách, đơn vị “đ”</t>
  </si>
  <si>
    <t>Kiểm tra nhập số lượng thủ công</t>
  </si>
  <si>
    <t>1. Nhập “2” vào ô số lượng 2. Enter</t>
  </si>
  <si>
    <t>Số lượng cập nhật và tổng tiền đổi</t>
  </si>
  <si>
    <t>Kiểm tra reload trang</t>
  </si>
  <si>
    <t>1. Reload trang</t>
  </si>
  <si>
    <t>Sản phẩm vẫn còn</t>
  </si>
  <si>
    <t>Kiểm tra thêm cùng sản phẩm lần 2</t>
  </si>
  <si>
    <t>Chưa có trùng sản phẩm</t>
  </si>
  <si>
    <t>1. Thêm lại sản phẩm đã có</t>
  </si>
  <si>
    <t>Số lượng cộng thêm, không nhân đôi dòng</t>
  </si>
  <si>
    <t>Kiểm tra hiển thị responsive</t>
  </si>
  <si>
    <t>Dùng thiết bị mobile</t>
  </si>
  <si>
    <t>1. Mở trang trên màn hình nhỏ</t>
  </si>
  <si>
    <t>Bố cục hiển thị cân đối, không vỡ layout</t>
  </si>
  <si>
    <t>Kiểm tra giới hạn số lượng sản phẩm</t>
  </si>
  <si>
    <t>1. Nhập giá trị quá lớn (vd 9999)</t>
  </si>
  <si>
    <t>Cảnh báo hoặc giới hạn hợp lý</t>
  </si>
  <si>
    <t>TC_SP</t>
  </si>
  <si>
    <t>Kiểm tra hiển thị tiêu đề trang</t>
  </si>
  <si>
    <t>Trang danh mục mở</t>
  </si>
  <si>
    <t>1. Truy cập URL trang sản phẩm2. Quan sát phần tiêu đề “Tất cả sản phẩm”</t>
  </si>
  <si>
    <t>Tiêu đề hiển thị rõ, đúng vị trí</t>
  </si>
  <si>
    <t>Kiểm tra danh sách danh mục bên trái</t>
  </si>
  <si>
    <t>1. Cuộn bên trái2. Kiểm tra các danh mục hiển thị đầy đủ</t>
  </si>
  <si>
    <t>Hiển thị đủ các mục danh mục sản phẩm</t>
  </si>
  <si>
    <t>Kiểm tra checkbox lọc giá</t>
  </si>
  <si>
    <t>1. Quan sát các mức giá2. Click chọn từng mức</t>
  </si>
  <si>
    <t>Checkbox hoạt động, hiển thị đúng mức giá</t>
  </si>
  <si>
    <t>Kiểm tra hiển thị hình ảnh sản phẩm</t>
  </si>
  <si>
    <t>1. Quan sát danh sách sản phẩm2. Kiểm tra ảnh sản phẩm</t>
  </si>
  <si>
    <t>Ảnh hiển thị đúng, không bị vỡ</t>
  </si>
  <si>
    <t>Kiểm tra hiển thị giá sản phẩm</t>
  </si>
  <si>
    <t>1. Quan sát phần giá dưới tên sản phẩm</t>
  </si>
  <si>
    <t>Giá hiển thị đúng định dạng “xxx.000đ”</t>
  </si>
  <si>
    <t>Kiểm tra nút “Thêm vào so sánh”</t>
  </si>
  <si>
    <t>1. Di chuột vào sản phẩm2. Click “Thêm vào so sánh”</t>
  </si>
  <si>
    <t>Sản phẩm được thêm vào danh sách so sánh</t>
  </si>
  <si>
    <t>Kiểm tra nút chuyển hiển thị (lưới/danh sách)</t>
  </si>
  <si>
    <t>1. Click biểu tượng thay đổi hiển thị</t>
  </si>
  <si>
    <t>Giao diện thay đổi đúng kiểu (grid/list)</t>
  </si>
  <si>
    <t>Kiểm tra dropdown “Sắp xếp”</t>
  </si>
  <si>
    <t>1. Click dropdown2. Chọn “Giá tăng dần”</t>
  </si>
  <si>
    <t>Sản phẩm sắp xếp đúng theo giá</t>
  </si>
  <si>
    <t>1. Cuộn xuống phần sản phẩm bán chạy2. Quan sát hiển thị</t>
  </si>
  <si>
    <t>Hiển thị ảnh, tên, giá, nút đầy đủ</t>
  </si>
  <si>
    <t>Kiểm tra nút “Lên đầu trang”</t>
  </si>
  <si>
    <t>1. Cuộn xuống cuối trang2. Click nút “↑”</t>
  </si>
  <si>
    <t>Trang cuộn lên đầu, nút hoạt động đúng</t>
  </si>
  <si>
    <t>Kiểm tra layout</t>
  </si>
  <si>
    <t>1. Quan sát khoảng cách giữa các khối sản phẩm</t>
  </si>
  <si>
    <t>Các phần tử cách đều, không lệch, không đè nhau</t>
  </si>
  <si>
    <t>Kiểm tra responsive trên PC</t>
  </si>
  <si>
    <t>Mở trang trên PC</t>
  </si>
  <si>
    <t>Quan sát toàn trang</t>
  </si>
  <si>
    <t>Hiển thị chuẩn, không bị vỡ bố cục</t>
  </si>
  <si>
    <t>Kiểm tra responsive trên Tablet</t>
  </si>
  <si>
    <t>Mở trang trên Tablet</t>
  </si>
  <si>
    <t>Hiển thị đầy đủ, bố cục phù hợp</t>
  </si>
  <si>
    <t>Kiểm tra responsive trên Mobile</t>
  </si>
  <si>
    <t>Mở trang trên Mobile</t>
  </si>
  <si>
    <t>Hiển thị tốt, menu/danh mục không bị che khuất</t>
  </si>
  <si>
    <t>TC_DH</t>
  </si>
  <si>
    <t>Kiểm tra hiển thị tiêu đề form</t>
  </si>
  <si>
    <t>Trang Đơn hàng mở</t>
  </si>
  <si>
    <t>1. Truy cập URL trang Đơn hàng2. Quan sát phần tiêu đề</t>
  </si>
  <si>
    <t>Tiêu đề “Kiểm tra đơn hàng của bạn” hiển thị rõ, icon kính lúp hiển thị đúng</t>
  </si>
  <si>
    <t>Kiểm tra các radio hiển thị đầy đủ</t>
  </si>
  <si>
    <t>1. Quan sát phần radio2. Kiểm tra có đủ 3 lựa chọn</t>
  </si>
  <si>
    <t>Có đủ “Số điện thoại”, “Email”, “Số điện thoại và Email”</t>
  </si>
  <si>
    <t>Kiểm tra trạng thái radio mặc định</t>
  </si>
  <si>
    <t>1. Quan sát radio chưa click2. Kiểm tra radio được chọn mặc định</t>
  </si>
  <si>
    <t>Radio “Số điện thoại” được chọn mặc định</t>
  </si>
  <si>
    <t>Kiểm tra hoạt động chọn radio</t>
  </si>
  <si>
    <t>1. Chọn radio “Email”2. Chọn radio “Số điện thoại và Email”</t>
  </si>
  <si>
    <t>Radio được chọn hoạt động bình thường, chỉ 1 radio được chọn tại 1 thời điểm</t>
  </si>
  <si>
    <t>Kiểm tra placeholder ô nhập liệu</t>
  </si>
  <si>
    <t>1. Quan sát ô nhập2. Kiểm tra text placeholder</t>
  </si>
  <si>
    <t>Placeholder “0909 xxx xxx” hiển thị đúng, màu xám nhạt</t>
  </si>
  <si>
    <t>Kiểm tra nhập dữ liệu hợp lệ</t>
  </si>
  <si>
    <t>1. Nhập “0909123456”2. Click nút “Kiểm tra”</t>
  </si>
  <si>
    <t>Hệ thống hiển thị thông tin đơn hàng hoặc thông báo nếu không có</t>
  </si>
  <si>
    <t>Kiểm tra nhập dữ liệu không hợp lệ</t>
  </si>
  <si>
    <t>1. Nhập “abcxyz”2. Click “Kiểm tra”</t>
  </si>
  <si>
    <t>Hệ thống hiển thị thông báo lỗi “Số điện thoại không hợp lệ”</t>
  </si>
  <si>
    <t>Kiểm tra để trống ô nhập liệu</t>
  </si>
  <si>
    <t>1. Không nhập dữ liệu2. Click “Kiểm tra”</t>
  </si>
  <si>
    <t>Hiển thị thông báo lỗi yêu cầu nhập thông tin</t>
  </si>
  <si>
    <t>Kiểm tra nút “Kiểm tra” hiển thị đúng</t>
  </si>
  <si>
    <t>1. Quan sát nút2. Hover chuột qua</t>
  </si>
  <si>
    <t>Nút hiển thị rõ, hover đổi màu nhẹ</t>
  </si>
  <si>
    <t>Kiểm tra căn chỉnh form</t>
  </si>
  <si>
    <t>1. Quan sát toàn bộ form2. Kiểm tra vị trí các thành phần</t>
  </si>
  <si>
    <t>Form căn giữa, các phần tử cách đều nhau</t>
  </si>
  <si>
    <t>Kiểm tra giao diện khi thu nhỏ cửa sổ</t>
  </si>
  <si>
    <t>1. Thu nhỏ trình duyệt2. Quan sát form</t>
  </si>
  <si>
    <t>Form co giãn hợp lý, không bị lệch, nội dung hiển thị đủ</t>
  </si>
  <si>
    <t>Kiểm tra nút Facebook nổi</t>
  </si>
  <si>
    <t>1. Quan sát biểu tượng Facebook2. Click icon</t>
  </si>
  <si>
    <t>Icon hiển thị đúng vị trí, mở liên kết Facebook hợp lệ</t>
  </si>
  <si>
    <t>TC_KM</t>
  </si>
  <si>
    <t>Kiểm tra tiêu đề trang hiển thị đúng</t>
  </si>
  <si>
    <t>Người dùng đã truy cập website</t>
  </si>
  <si>
    <t>Mở trang “Khuyến mãi”</t>
  </si>
  <si>
    <t>Hiển thị tiêu đề “KHUYẾN MÃI” rõ ràng, đúng chính tả</t>
  </si>
  <si>
    <t>Kiểm tra menu danh mục khuyến mãi hiển thị đầy đủ</t>
  </si>
  <si>
    <t>Trang Khuyến mãi được tải thành công</t>
  </si>
  <si>
    <t>Quan sát thanh menu hoặc danh sách mục khuyến mãi</t>
  </si>
  <si>
    <t>Có đủ các mục: Member Vip, Mã giảm giá, Combo sản phẩm, Mua nhiều giá tốt, Sản phẩm giảm giá, Kún Miu Care</t>
  </si>
  <si>
    <t>Kiểm tra phần “Các mã giảm giá” hiển thị đúng cấu trúc</t>
  </si>
  <si>
    <t>Trang Khuyến mãi đang mở</t>
  </si>
  <si>
    <t>Cuộn đến phần “Các mã giảm giá”</t>
  </si>
  <si>
    <t>Hiển thị bảng có đủ 3 cột: “Sản phẩm nhóm hàng”, “Mã giảm giá”, “Hạn sử dụng”</t>
  </si>
  <si>
    <t>Kiểm tra đường dẫn sản phẩm trong bảng mã giảm giá</t>
  </si>
  <si>
    <t>Bảng mã giảm giá hiển thị</t>
  </si>
  <si>
    <t>Click vào tên sản phẩm nhóm hàng khuyến mãi</t>
  </si>
  <si>
    <t>Dẫn đến đúng trang danh mục tương ứng</t>
  </si>
  <si>
    <t>Kiểm tra phần “Mua nhiều giá tốt” hiển thị sản phẩm</t>
  </si>
  <si>
    <t>Chọn mục “Mua nhiều giá tốt”</t>
  </si>
  <si>
    <t>Hiển thị danh sách sản phẩm có hình ảnh, tên, giá, nút chi tiết</t>
  </si>
  <si>
    <t>Kiểm tra phần “Combo sản phẩm chó mèo” hiển thị đúng</t>
  </si>
  <si>
    <t>Chọn “Combo sản phẩm chó mèo”</t>
  </si>
  <si>
    <t>Hiển thị sản phẩm combo hợp lệ có tên, giá khuyến mãi</t>
  </si>
  <si>
    <t>Kiểm tra phần “Các sản phẩm giảm giá”</t>
  </si>
  <si>
    <t>Chọn mục “Các sản phẩm giảm giá”</t>
  </si>
  <si>
    <t>Sản phẩm có nhãn SALE, giá gạch bỏ và giá giảm đúng định dạng</t>
  </si>
  <si>
    <t>Kiểm tra chức năng sắp xếp sản phẩm</t>
  </si>
  <si>
    <t>Trang có danh sách sản phẩm</t>
  </si>
  <si>
    <t>Chọn “Giá tăng dần” hoặc “Hàng mới nhất” trong dropdown sắp xếp</t>
  </si>
  <si>
    <t>Sản phẩm được sắp xếp theo tiêu chí đã chọn</t>
  </si>
  <si>
    <t>Kiểm tra hiển thị form “Kún Miu Care”</t>
  </si>
  <si>
    <t>Cuộn xuống phần “Kún Miu Care”</t>
  </si>
  <si>
    <t>Hiển thị form có đầy đủ trường: SĐT, Email, loại phản ánh, nội dung, upload file</t>
  </si>
  <si>
    <t>Kiểm tra validation khi để trống form Kún Miu Care</t>
  </si>
  <si>
    <t>Không nhập gì, nhấn “Gửi”</t>
  </si>
  <si>
    <t>Hiển thị thông báo lỗi yêu cầu nhập các trường bắt buộc</t>
  </si>
  <si>
    <t>Kiểm tra định dạng số điện thoại không hợp lệ</t>
  </si>
  <si>
    <t>Trang Kún Miu Care hiển thị</t>
  </si>
  <si>
    <t>Nhập “abc123”, nhấn Gửi</t>
  </si>
  <si>
    <t>Hiển thị thông báo “Số điện thoại không hợp lệ”</t>
  </si>
  <si>
    <t>Kiểm tra định dạng email không hợp lệ</t>
  </si>
  <si>
    <t>Nhập “ngoc@” vào ô Email, nhấn Gửi</t>
  </si>
  <si>
    <t>Hiển thị thông báo “Email không hợp lệ”</t>
  </si>
  <si>
    <t>Kiểm tra chọn loại phản ánh</t>
  </si>
  <si>
    <t>Chọn một loại phản ánh trong danh sách</t>
  </si>
  <si>
    <t>Hệ thống chấp nhận lựa chọn</t>
  </si>
  <si>
    <t>Kiểm tra upload file hợp lệ</t>
  </si>
  <si>
    <t>Chọn file hợp lệ (.jpg, .png, .pdf)</t>
  </si>
  <si>
    <t>File được đính kèm thành công</t>
  </si>
  <si>
    <t>Kiểm tra gửi phản hồi thành công</t>
  </si>
  <si>
    <t>Form Kún Miu Care có dữ liệu hợp lệ</t>
  </si>
  <si>
    <t>Nhập đầy đủ thông tin và nhấn “Gửi”</t>
  </si>
  <si>
    <t>Hiển thị thông báo “Gửi phản hồi thành công”</t>
  </si>
  <si>
    <t>Kiểm tra bố cục và hình ảnh trang</t>
  </si>
  <si>
    <t>Trang Khuyến mãi được tải hoàn tất</t>
  </si>
  <si>
    <t>Cuộn xuống toàn bộ trang</t>
  </si>
  <si>
    <t>Không bị vỡ ảnh, chữ không tràn, bố cục cân đối</t>
  </si>
  <si>
    <t>Kiểm tra font và màu sắc giao diện</t>
  </si>
  <si>
    <t>Font đồng nhất, màu sắc thương hiệu chính xác</t>
  </si>
  <si>
    <t>Kiểm tra nút quay lại đầu trang hoạt động</t>
  </si>
  <si>
    <t>Trang có độ dài đủ để cuộn</t>
  </si>
  <si>
    <t>Cuộn xuống, click nút mũi tên ↑</t>
  </si>
  <si>
    <t>Trang cuộn về đầu đúng</t>
  </si>
  <si>
    <t>Kiểm tra nút Facebook hoạt động</t>
  </si>
  <si>
    <t>Trang Khuyến mãi hiển thị biểu tượng Facebook</t>
  </si>
  <si>
    <t>Click vào icon Facebook</t>
  </si>
  <si>
    <t>Dẫn đến trang fanpage chính thức</t>
  </si>
  <si>
    <t>Kiểm tra hiển thị trang trên thiết bị di động</t>
  </si>
  <si>
    <t>Sử dụng thiết bị mobile hoặc dev tools</t>
  </si>
  <si>
    <t>Mở trang Khuyến mãi</t>
  </si>
  <si>
    <t>Giao diện hiển thị đầy đủ, không lỗi responsive</t>
  </si>
  <si>
    <t>Kiểm tra tốc độ tải trang</t>
  </si>
  <si>
    <t>Truy cập lần đầu trang Khuyến mãi</t>
  </si>
  <si>
    <t>Đo thời gian tải trang</t>
  </si>
  <si>
    <t>Trang tải trong &lt; 3 giây</t>
  </si>
  <si>
    <t>TEST REPORT</t>
  </si>
  <si>
    <t>Project Name</t>
  </si>
  <si>
    <t>Kiểm thử website Đồ chơi chợ lớn</t>
  </si>
  <si>
    <t>Creator</t>
  </si>
  <si>
    <t>Project Code</t>
  </si>
  <si>
    <t>Reviewer/Approver</t>
  </si>
  <si>
    <t>Document Code</t>
  </si>
  <si>
    <t>Issue Date</t>
  </si>
  <si>
    <t>Notes</t>
  </si>
  <si>
    <t>No</t>
  </si>
  <si>
    <t>Test Items</t>
  </si>
  <si>
    <t>Number of  test cases</t>
  </si>
  <si>
    <t>Đăng nhập</t>
  </si>
  <si>
    <t>Đăng ký</t>
  </si>
  <si>
    <t>Quên mật khẩu</t>
  </si>
  <si>
    <t>Tìm kiếm</t>
  </si>
  <si>
    <t>Xem chi tiết sản phẩm</t>
  </si>
  <si>
    <t>Xem tin tức, bình luận</t>
  </si>
  <si>
    <t>Danh mục</t>
  </si>
  <si>
    <t>Giỏ hàng</t>
  </si>
  <si>
    <t>Đặt hàng</t>
  </si>
  <si>
    <t>Sub total</t>
  </si>
  <si>
    <t>Test coverage</t>
  </si>
  <si>
    <t>Test successful coverage</t>
  </si>
  <si>
    <t>TEST CASE</t>
  </si>
  <si>
    <t>Version</t>
  </si>
  <si>
    <t>Record of change</t>
  </si>
  <si>
    <t>Change Date</t>
  </si>
  <si>
    <t>Change Item</t>
  </si>
  <si>
    <t>Change description</t>
  </si>
  <si>
    <t>ID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</si>
</sst>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-409]d\-mmm\-yyyy"/>
    <numFmt numFmtId="180" formatCode="#,##0.0"/>
  </numFmts>
  <fonts count="46"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b/>
      <sz val="22"/>
      <color rgb="FFFF0000"/>
      <name val="Tahoma"/>
      <charset val="134"/>
    </font>
    <font>
      <b/>
      <sz val="18"/>
      <color rgb="FFFF0000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0000"/>
      <name val="Tahoma"/>
      <charset val="134"/>
    </font>
    <font>
      <b/>
      <sz val="10"/>
      <color theme="1"/>
      <name val="Tahoma"/>
      <charset val="134"/>
    </font>
    <font>
      <b/>
      <sz val="10"/>
      <color rgb="FFFF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i/>
      <sz val="10"/>
      <color rgb="FFFF0000"/>
      <name val="Tahoma"/>
      <charset val="134"/>
    </font>
    <font>
      <b/>
      <sz val="10"/>
      <color rgb="FF000000"/>
      <name val="Tahoma"/>
      <charset val="134"/>
    </font>
    <font>
      <b/>
      <sz val="13"/>
      <color rgb="FFFFFFFF"/>
      <name val="Times New Roman"/>
      <charset val="134"/>
    </font>
    <font>
      <sz val="13"/>
      <color rgb="FFFF0000"/>
      <name val="Times New Roman"/>
      <charset val="134"/>
    </font>
    <font>
      <sz val="13"/>
      <color theme="1"/>
      <name val="Times New Roman"/>
      <charset val="134"/>
    </font>
    <font>
      <i/>
      <sz val="10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9.75"/>
      <color rgb="FF23527C"/>
      <name val="Open Sans"/>
      <charset val="134"/>
    </font>
    <font>
      <sz val="13"/>
      <color theme="1"/>
      <name val="Calibri"/>
      <charset val="134"/>
      <scheme val="minor"/>
    </font>
    <font>
      <i/>
      <sz val="13"/>
      <color theme="1"/>
      <name val="Times New Roman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theme="1" tint="0.3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0" borderId="5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53" applyNumberFormat="0" applyAlignment="0" applyProtection="0">
      <alignment vertical="center"/>
    </xf>
    <xf numFmtId="0" fontId="35" fillId="9" borderId="54" applyNumberFormat="0" applyAlignment="0" applyProtection="0">
      <alignment vertical="center"/>
    </xf>
    <xf numFmtId="0" fontId="36" fillId="9" borderId="53" applyNumberFormat="0" applyAlignment="0" applyProtection="0">
      <alignment vertical="center"/>
    </xf>
    <xf numFmtId="0" fontId="37" fillId="10" borderId="55" applyNumberFormat="0" applyAlignment="0" applyProtection="0">
      <alignment vertical="center"/>
    </xf>
    <xf numFmtId="0" fontId="38" fillId="0" borderId="56" applyNumberFormat="0" applyFill="0" applyAlignment="0" applyProtection="0">
      <alignment vertical="center"/>
    </xf>
    <xf numFmtId="0" fontId="39" fillId="0" borderId="57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78" fontId="45" fillId="0" borderId="0"/>
  </cellStyleXfs>
  <cellXfs count="16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6" fillId="2" borderId="0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" fillId="2" borderId="0" xfId="0" applyFont="1" applyFill="1" applyBorder="1" applyAlignment="1"/>
    <xf numFmtId="0" fontId="6" fillId="2" borderId="4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/>
    <xf numFmtId="0" fontId="6" fillId="2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179" fontId="1" fillId="0" borderId="4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5" fillId="0" borderId="12" xfId="0" applyFont="1" applyFill="1" applyBorder="1" applyAlignment="1"/>
    <xf numFmtId="180" fontId="1" fillId="0" borderId="3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15" fontId="8" fillId="3" borderId="13" xfId="0" applyNumberFormat="1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79" fontId="9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top"/>
    </xf>
    <xf numFmtId="15" fontId="1" fillId="0" borderId="4" xfId="0" applyNumberFormat="1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/>
    </xf>
    <xf numFmtId="179" fontId="1" fillId="2" borderId="0" xfId="0" applyNumberFormat="1" applyFont="1" applyFill="1" applyBorder="1" applyAlignment="1"/>
    <xf numFmtId="179" fontId="4" fillId="2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79" fontId="10" fillId="2" borderId="0" xfId="0" applyNumberFormat="1" applyFont="1" applyFill="1" applyBorder="1" applyAlignment="1"/>
    <xf numFmtId="15" fontId="1" fillId="2" borderId="0" xfId="0" applyNumberFormat="1" applyFont="1" applyFill="1" applyBorder="1" applyAlignment="1"/>
    <xf numFmtId="179" fontId="6" fillId="2" borderId="4" xfId="0" applyNumberFormat="1" applyFont="1" applyFill="1" applyBorder="1" applyAlignment="1">
      <alignment horizontal="left" vertical="center"/>
    </xf>
    <xf numFmtId="179" fontId="1" fillId="2" borderId="1" xfId="0" applyNumberFormat="1" applyFont="1" applyFill="1" applyBorder="1" applyAlignment="1">
      <alignment horizontal="left"/>
    </xf>
    <xf numFmtId="179" fontId="6" fillId="2" borderId="1" xfId="0" applyNumberFormat="1" applyFont="1" applyFill="1" applyBorder="1" applyAlignment="1">
      <alignment horizontal="left"/>
    </xf>
    <xf numFmtId="179" fontId="11" fillId="2" borderId="1" xfId="0" applyNumberFormat="1" applyFont="1" applyFill="1" applyBorder="1" applyAlignment="1">
      <alignment horizontal="left" vertical="center"/>
    </xf>
    <xf numFmtId="179" fontId="6" fillId="2" borderId="4" xfId="0" applyNumberFormat="1" applyFont="1" applyFill="1" applyBorder="1" applyAlignment="1">
      <alignment vertical="center"/>
    </xf>
    <xf numFmtId="179" fontId="6" fillId="2" borderId="1" xfId="0" applyNumberFormat="1" applyFont="1" applyFill="1" applyBorder="1" applyAlignment="1">
      <alignment horizontal="left" vertical="center"/>
    </xf>
    <xf numFmtId="179" fontId="7" fillId="2" borderId="1" xfId="0" applyNumberFormat="1" applyFont="1" applyFill="1" applyBorder="1" applyAlignment="1">
      <alignment vertical="top"/>
    </xf>
    <xf numFmtId="179" fontId="6" fillId="2" borderId="0" xfId="0" applyNumberFormat="1" applyFont="1" applyFill="1" applyBorder="1" applyAlignment="1"/>
    <xf numFmtId="179" fontId="7" fillId="2" borderId="0" xfId="0" applyNumberFormat="1" applyFont="1" applyFill="1" applyBorder="1" applyAlignment="1"/>
    <xf numFmtId="179" fontId="1" fillId="2" borderId="16" xfId="0" applyNumberFormat="1" applyFont="1" applyFill="1" applyBorder="1" applyAlignment="1"/>
    <xf numFmtId="179" fontId="8" fillId="3" borderId="17" xfId="0" applyNumberFormat="1" applyFont="1" applyFill="1" applyBorder="1" applyAlignment="1">
      <alignment horizontal="center"/>
    </xf>
    <xf numFmtId="179" fontId="8" fillId="3" borderId="18" xfId="0" applyNumberFormat="1" applyFont="1" applyFill="1" applyBorder="1" applyAlignment="1">
      <alignment horizontal="center"/>
    </xf>
    <xf numFmtId="1" fontId="1" fillId="0" borderId="19" xfId="0" applyNumberFormat="1" applyFont="1" applyFill="1" applyBorder="1" applyAlignment="1">
      <alignment horizontal="center"/>
    </xf>
    <xf numFmtId="179" fontId="12" fillId="0" borderId="20" xfId="6" applyNumberFormat="1" applyBorder="1" applyAlignment="1"/>
    <xf numFmtId="179" fontId="12" fillId="0" borderId="20" xfId="6" applyNumberFormat="1" applyFill="1" applyBorder="1" applyAlignment="1"/>
    <xf numFmtId="179" fontId="13" fillId="0" borderId="20" xfId="6" applyNumberFormat="1" applyFont="1" applyFill="1" applyBorder="1" applyAlignment="1"/>
    <xf numFmtId="179" fontId="14" fillId="3" borderId="21" xfId="0" applyNumberFormat="1" applyFont="1" applyFill="1" applyBorder="1" applyAlignment="1">
      <alignment horizontal="center"/>
    </xf>
    <xf numFmtId="179" fontId="8" fillId="3" borderId="22" xfId="0" applyNumberFormat="1" applyFont="1" applyFill="1" applyBorder="1" applyAlignment="1"/>
    <xf numFmtId="1" fontId="1" fillId="4" borderId="19" xfId="0" applyNumberFormat="1" applyFont="1" applyFill="1" applyBorder="1" applyAlignment="1">
      <alignment horizontal="center"/>
    </xf>
    <xf numFmtId="179" fontId="6" fillId="2" borderId="0" xfId="0" applyNumberFormat="1" applyFont="1" applyFill="1" applyBorder="1" applyAlignment="1">
      <alignment horizontal="left"/>
    </xf>
    <xf numFmtId="179" fontId="8" fillId="3" borderId="18" xfId="0" applyNumberFormat="1" applyFont="1" applyFill="1" applyBorder="1" applyAlignment="1">
      <alignment horizontal="center" wrapText="1"/>
    </xf>
    <xf numFmtId="179" fontId="8" fillId="3" borderId="23" xfId="0" applyNumberFormat="1" applyFont="1" applyFill="1" applyBorder="1" applyAlignment="1">
      <alignment horizontal="center"/>
    </xf>
    <xf numFmtId="179" fontId="8" fillId="3" borderId="24" xfId="0" applyNumberFormat="1" applyFont="1" applyFill="1" applyBorder="1" applyAlignment="1">
      <alignment horizontal="center" wrapText="1"/>
    </xf>
    <xf numFmtId="1" fontId="1" fillId="0" borderId="20" xfId="0" applyNumberFormat="1" applyFont="1" applyFill="1" applyBorder="1" applyAlignment="1">
      <alignment horizontal="center" vertical="center"/>
    </xf>
    <xf numFmtId="1" fontId="14" fillId="3" borderId="22" xfId="0" applyNumberFormat="1" applyFont="1" applyFill="1" applyBorder="1" applyAlignment="1">
      <alignment horizontal="center"/>
    </xf>
    <xf numFmtId="1" fontId="14" fillId="3" borderId="25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2" fontId="15" fillId="2" borderId="0" xfId="0" applyNumberFormat="1" applyFont="1" applyFill="1" applyBorder="1" applyAlignment="1">
      <alignment horizontal="right" wrapText="1"/>
    </xf>
    <xf numFmtId="179" fontId="16" fillId="2" borderId="0" xfId="0" applyNumberFormat="1" applyFont="1" applyFill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179" fontId="10" fillId="2" borderId="26" xfId="0" applyNumberFormat="1" applyFont="1" applyFill="1" applyBorder="1" applyAlignment="1">
      <alignment horizontal="left" vertical="top" wrapText="1"/>
    </xf>
    <xf numFmtId="179" fontId="1" fillId="2" borderId="1" xfId="0" applyNumberFormat="1" applyFont="1" applyFill="1" applyBorder="1" applyAlignment="1">
      <alignment horizontal="left" vertical="top" wrapText="1"/>
    </xf>
    <xf numFmtId="0" fontId="5" fillId="0" borderId="27" xfId="0" applyFont="1" applyFill="1" applyBorder="1" applyAlignment="1"/>
    <xf numFmtId="179" fontId="1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left" vertical="top" wrapText="1"/>
    </xf>
    <xf numFmtId="179" fontId="10" fillId="2" borderId="28" xfId="0" applyNumberFormat="1" applyFont="1" applyFill="1" applyBorder="1" applyAlignment="1">
      <alignment horizontal="left" vertical="top" wrapText="1"/>
    </xf>
    <xf numFmtId="179" fontId="1" fillId="0" borderId="1" xfId="0" applyNumberFormat="1" applyFont="1" applyFill="1" applyBorder="1" applyAlignment="1">
      <alignment horizontal="left" vertical="top" wrapText="1"/>
    </xf>
    <xf numFmtId="179" fontId="7" fillId="2" borderId="0" xfId="0" applyNumberFormat="1" applyFont="1" applyFill="1" applyBorder="1" applyAlignment="1">
      <alignment horizontal="center" vertical="center" wrapText="1"/>
    </xf>
    <xf numFmtId="179" fontId="7" fillId="2" borderId="0" xfId="0" applyNumberFormat="1" applyFont="1" applyFill="1" applyBorder="1" applyAlignment="1">
      <alignment horizontal="left" vertical="top" wrapText="1"/>
    </xf>
    <xf numFmtId="179" fontId="17" fillId="2" borderId="1" xfId="0" applyNumberFormat="1" applyFont="1" applyFill="1" applyBorder="1" applyAlignment="1">
      <alignment horizontal="left" vertical="top" wrapText="1"/>
    </xf>
    <xf numFmtId="0" fontId="18" fillId="2" borderId="29" xfId="0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horizontal="left" vertical="top" wrapText="1"/>
    </xf>
    <xf numFmtId="0" fontId="16" fillId="2" borderId="29" xfId="0" applyFont="1" applyFill="1" applyBorder="1" applyAlignment="1">
      <alignment horizontal="center" vertical="top"/>
    </xf>
    <xf numFmtId="0" fontId="16" fillId="2" borderId="4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0" fontId="16" fillId="2" borderId="30" xfId="0" applyFont="1" applyFill="1" applyBorder="1" applyAlignment="1">
      <alignment horizontal="center" vertical="top"/>
    </xf>
    <xf numFmtId="0" fontId="16" fillId="2" borderId="5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center" vertical="top" wrapText="1"/>
    </xf>
    <xf numFmtId="9" fontId="11" fillId="2" borderId="31" xfId="0" applyNumberFormat="1" applyFont="1" applyFill="1" applyBorder="1" applyAlignment="1">
      <alignment horizontal="left" vertical="top"/>
    </xf>
    <xf numFmtId="3" fontId="16" fillId="2" borderId="32" xfId="0" applyNumberFormat="1" applyFont="1" applyFill="1" applyBorder="1" applyAlignment="1">
      <alignment horizontal="left" vertical="top"/>
    </xf>
    <xf numFmtId="3" fontId="16" fillId="2" borderId="32" xfId="0" applyNumberFormat="1" applyFont="1" applyFill="1" applyBorder="1" applyAlignment="1">
      <alignment horizontal="left" vertical="top" wrapText="1"/>
    </xf>
    <xf numFmtId="3" fontId="16" fillId="2" borderId="33" xfId="0" applyNumberFormat="1" applyFont="1" applyFill="1" applyBorder="1" applyAlignment="1">
      <alignment horizontal="left" vertical="top"/>
    </xf>
    <xf numFmtId="3" fontId="16" fillId="2" borderId="0" xfId="0" applyNumberFormat="1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 wrapText="1"/>
    </xf>
    <xf numFmtId="179" fontId="19" fillId="3" borderId="4" xfId="0" applyNumberFormat="1" applyFont="1" applyFill="1" applyBorder="1" applyAlignment="1">
      <alignment horizontal="left" vertical="top" wrapText="1"/>
    </xf>
    <xf numFmtId="179" fontId="19" fillId="3" borderId="4" xfId="0" applyNumberFormat="1" applyFont="1" applyFill="1" applyBorder="1" applyAlignment="1">
      <alignment horizontal="center" vertical="center" wrapText="1"/>
    </xf>
    <xf numFmtId="179" fontId="20" fillId="0" borderId="5" xfId="0" applyNumberFormat="1" applyFont="1" applyFill="1" applyBorder="1" applyAlignment="1">
      <alignment horizontal="center" vertical="center" wrapText="1"/>
    </xf>
    <xf numFmtId="0" fontId="21" fillId="0" borderId="34" xfId="0" applyFont="1" applyBorder="1" applyAlignment="1">
      <alignment vertical="center" wrapText="1"/>
    </xf>
    <xf numFmtId="179" fontId="21" fillId="0" borderId="3" xfId="0" applyNumberFormat="1" applyFont="1" applyFill="1" applyBorder="1" applyAlignment="1">
      <alignment horizontal="center" vertical="center" wrapText="1"/>
    </xf>
    <xf numFmtId="179" fontId="20" fillId="0" borderId="34" xfId="0" applyNumberFormat="1" applyFont="1" applyFill="1" applyBorder="1" applyAlignment="1">
      <alignment horizontal="center" vertical="center" wrapText="1"/>
    </xf>
    <xf numFmtId="179" fontId="21" fillId="0" borderId="34" xfId="0" applyNumberFormat="1" applyFont="1" applyFill="1" applyBorder="1" applyAlignment="1">
      <alignment horizontal="center" vertical="center" wrapText="1"/>
    </xf>
    <xf numFmtId="179" fontId="20" fillId="0" borderId="9" xfId="0" applyNumberFormat="1" applyFont="1" applyFill="1" applyBorder="1" applyAlignment="1">
      <alignment horizontal="center" vertical="center" wrapText="1"/>
    </xf>
    <xf numFmtId="179" fontId="21" fillId="0" borderId="35" xfId="0" applyNumberFormat="1" applyFont="1" applyFill="1" applyBorder="1" applyAlignment="1">
      <alignment horizontal="center" vertical="center" wrapText="1"/>
    </xf>
    <xf numFmtId="179" fontId="21" fillId="0" borderId="8" xfId="0" applyNumberFormat="1" applyFont="1" applyFill="1" applyBorder="1" applyAlignment="1">
      <alignment horizontal="center" vertical="center" wrapText="1"/>
    </xf>
    <xf numFmtId="179" fontId="20" fillId="0" borderId="4" xfId="0" applyNumberFormat="1" applyFont="1" applyFill="1" applyBorder="1" applyAlignment="1">
      <alignment horizontal="center" vertical="center" wrapText="1"/>
    </xf>
    <xf numFmtId="179" fontId="21" fillId="0" borderId="36" xfId="0" applyNumberFormat="1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vertical="center" wrapText="1"/>
    </xf>
    <xf numFmtId="179" fontId="21" fillId="0" borderId="38" xfId="0" applyNumberFormat="1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left" vertical="top" wrapText="1"/>
    </xf>
    <xf numFmtId="0" fontId="21" fillId="0" borderId="34" xfId="0" applyFont="1" applyBorder="1" applyAlignment="1">
      <alignment horizontal="left" vertical="top" wrapText="1"/>
    </xf>
    <xf numFmtId="0" fontId="21" fillId="0" borderId="34" xfId="0" applyFont="1" applyFill="1" applyBorder="1" applyAlignment="1">
      <alignment vertical="top" wrapText="1"/>
    </xf>
    <xf numFmtId="179" fontId="20" fillId="0" borderId="40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22" fillId="0" borderId="0" xfId="0" applyFont="1" applyFill="1" applyBorder="1" applyAlignment="1">
      <alignment vertical="top" wrapText="1"/>
    </xf>
    <xf numFmtId="179" fontId="9" fillId="0" borderId="0" xfId="0" applyNumberFormat="1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3" fillId="5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left" vertical="top"/>
    </xf>
    <xf numFmtId="0" fontId="19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0" fillId="0" borderId="34" xfId="0" applyBorder="1">
      <alignment vertical="center"/>
    </xf>
    <xf numFmtId="0" fontId="21" fillId="0" borderId="41" xfId="0" applyFont="1" applyFill="1" applyBorder="1" applyAlignment="1">
      <alignment horizontal="center" vertical="center" wrapText="1"/>
    </xf>
    <xf numFmtId="0" fontId="21" fillId="0" borderId="42" xfId="0" applyFont="1" applyFill="1" applyBorder="1" applyAlignment="1">
      <alignment vertical="center" wrapText="1"/>
    </xf>
    <xf numFmtId="0" fontId="21" fillId="0" borderId="43" xfId="0" applyFont="1" applyFill="1" applyBorder="1" applyAlignment="1">
      <alignment horizontal="center" vertical="center" wrapText="1"/>
    </xf>
    <xf numFmtId="0" fontId="0" fillId="0" borderId="37" xfId="0" applyBorder="1">
      <alignment vertical="center"/>
    </xf>
    <xf numFmtId="179" fontId="24" fillId="0" borderId="34" xfId="0" applyNumberFormat="1" applyFont="1" applyFill="1" applyBorder="1" applyAlignment="1">
      <alignment vertical="center" wrapText="1"/>
    </xf>
    <xf numFmtId="179" fontId="10" fillId="0" borderId="34" xfId="0" applyNumberFormat="1" applyFont="1" applyFill="1" applyBorder="1" applyAlignment="1">
      <alignment vertical="center" wrapText="1"/>
    </xf>
    <xf numFmtId="179" fontId="10" fillId="0" borderId="0" xfId="0" applyNumberFormat="1" applyFont="1" applyFill="1" applyBorder="1" applyAlignment="1">
      <alignment vertical="center" wrapText="1"/>
    </xf>
    <xf numFmtId="0" fontId="21" fillId="0" borderId="35" xfId="0" applyFont="1" applyBorder="1">
      <alignment vertical="center"/>
    </xf>
    <xf numFmtId="0" fontId="0" fillId="0" borderId="44" xfId="0" applyBorder="1">
      <alignment vertical="center"/>
    </xf>
    <xf numFmtId="0" fontId="21" fillId="0" borderId="45" xfId="0" applyFont="1" applyBorder="1">
      <alignment vertical="center"/>
    </xf>
    <xf numFmtId="0" fontId="21" fillId="0" borderId="46" xfId="0" applyFont="1" applyBorder="1">
      <alignment vertical="center"/>
    </xf>
    <xf numFmtId="0" fontId="25" fillId="6" borderId="3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4" xfId="0" applyFont="1" applyBorder="1">
      <alignment vertical="center"/>
    </xf>
    <xf numFmtId="0" fontId="21" fillId="0" borderId="39" xfId="0" applyFont="1" applyBorder="1" applyAlignment="1">
      <alignment vertical="center" wrapText="1"/>
    </xf>
    <xf numFmtId="0" fontId="0" fillId="0" borderId="0" xfId="0" applyAlignment="1">
      <alignment vertical="center"/>
    </xf>
    <xf numFmtId="179" fontId="21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vertical="top" wrapText="1"/>
    </xf>
    <xf numFmtId="179" fontId="24" fillId="0" borderId="45" xfId="0" applyNumberFormat="1" applyFont="1" applyFill="1" applyBorder="1" applyAlignment="1">
      <alignment vertical="center" wrapText="1"/>
    </xf>
    <xf numFmtId="179" fontId="10" fillId="0" borderId="0" xfId="0" applyNumberFormat="1" applyFont="1" applyFill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179" fontId="21" fillId="0" borderId="4" xfId="0" applyNumberFormat="1" applyFont="1" applyFill="1" applyBorder="1" applyAlignment="1">
      <alignment horizontal="center" vertical="center" wrapText="1"/>
    </xf>
    <xf numFmtId="179" fontId="21" fillId="0" borderId="5" xfId="0" applyNumberFormat="1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vertical="center" wrapText="1"/>
    </xf>
    <xf numFmtId="0" fontId="21" fillId="0" borderId="47" xfId="0" applyFont="1" applyBorder="1" applyAlignment="1">
      <alignment vertical="center" wrapText="1"/>
    </xf>
    <xf numFmtId="0" fontId="21" fillId="0" borderId="48" xfId="0" applyFont="1" applyBorder="1" applyAlignment="1">
      <alignment horizontal="left" vertical="top" wrapText="1"/>
    </xf>
    <xf numFmtId="0" fontId="27" fillId="0" borderId="49" xfId="0" applyFont="1" applyFill="1" applyBorder="1" applyAlignment="1">
      <alignment vertical="top" wrapText="1"/>
    </xf>
    <xf numFmtId="179" fontId="21" fillId="0" borderId="49" xfId="0" applyNumberFormat="1" applyFont="1" applyFill="1" applyBorder="1" applyAlignment="1">
      <alignment horizontal="center" vertical="center" wrapText="1"/>
    </xf>
    <xf numFmtId="179" fontId="1" fillId="0" borderId="34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left" vertical="top" wrapText="1"/>
    </xf>
    <xf numFmtId="0" fontId="22" fillId="0" borderId="34" xfId="0" applyFont="1" applyFill="1" applyBorder="1" applyAlignment="1">
      <alignment vertical="top" wrapText="1"/>
    </xf>
    <xf numFmtId="179" fontId="9" fillId="0" borderId="34" xfId="0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21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guyenhien1988\Documents\Zalo%20Received%20Files\Testcase_doan2xls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Testcase_DA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stReport"/>
      <sheetName val="Test cases"/>
      <sheetName val="Permisison Matrix"/>
    </sheetNames>
    <sheetDataSet>
      <sheetData sheetId="0"/>
      <sheetData sheetId="1"/>
      <sheetData sheetId="2">
        <row r="5">
          <cell r="B5">
            <v>22</v>
          </cell>
        </row>
        <row r="6">
          <cell r="C6" t="str">
            <v>%</v>
          </cell>
          <cell r="D6" t="str">
            <v>%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st cas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zoomScale="70" zoomScaleNormal="70" topLeftCell="A9" workbookViewId="0">
      <selection activeCell="B10" sqref="B10"/>
    </sheetView>
  </sheetViews>
  <sheetFormatPr defaultColWidth="9.14285714285714" defaultRowHeight="15"/>
  <cols>
    <col min="1" max="1" width="16.7333333333333" customWidth="1"/>
    <col min="2" max="2" width="27.1428571428571" customWidth="1"/>
    <col min="3" max="3" width="26.5238095238095" customWidth="1"/>
    <col min="4" max="4" width="33.6761904761905" customWidth="1"/>
    <col min="5" max="5" width="42.0380952380952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1</v>
      </c>
      <c r="C1" s="6"/>
      <c r="D1" s="6"/>
      <c r="E1" s="76"/>
      <c r="F1" s="77"/>
      <c r="G1" s="78"/>
      <c r="H1" s="78"/>
      <c r="I1" s="127"/>
    </row>
    <row r="2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9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9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73" customHeight="1" spans="1:10">
      <c r="A9" s="110" t="str">
        <f>IF(AND(E9=""),"","["&amp;TEXT($B$1,"##")&amp;"-"&amp;TEXT(ROW()-9-COUNTBLANK($E$8:E8)+1,"##")&amp;"]")</f>
        <v>[TC_UI_DN-1]</v>
      </c>
      <c r="B9" s="103" t="s">
        <v>20</v>
      </c>
      <c r="C9" s="103" t="s">
        <v>21</v>
      </c>
      <c r="D9" s="103" t="s">
        <v>22</v>
      </c>
      <c r="E9" s="155" t="s">
        <v>23</v>
      </c>
      <c r="F9" s="156" t="s">
        <v>6</v>
      </c>
      <c r="G9" s="105">
        <f ca="1" t="shared" ref="G9:G17" si="0">TODAY()</f>
        <v>45955</v>
      </c>
      <c r="H9" s="106" t="str">
        <f>$B$3</f>
        <v>Nguyễn Thị Bích Ngọc</v>
      </c>
      <c r="I9" s="131"/>
      <c r="J9" s="132"/>
    </row>
    <row r="10" ht="72" customHeight="1" spans="1:10">
      <c r="A10" s="110" t="str">
        <f>IF(AND(E10=""),"","["&amp;TEXT($B$1,"##")&amp;"-"&amp;TEXT(ROW()-9-COUNTBLANK($E$8:E9)+1,"##")&amp;"]")</f>
        <v>[TC_UI_DN-2]</v>
      </c>
      <c r="B10" s="103" t="s">
        <v>24</v>
      </c>
      <c r="C10" s="103" t="s">
        <v>21</v>
      </c>
      <c r="D10" s="103" t="s">
        <v>25</v>
      </c>
      <c r="E10" s="155" t="s">
        <v>26</v>
      </c>
      <c r="F10" s="156" t="s">
        <v>6</v>
      </c>
      <c r="G10" s="107">
        <f ca="1" t="shared" si="0"/>
        <v>45955</v>
      </c>
      <c r="H10" s="108" t="str">
        <f>$B$3</f>
        <v>Nguyễn Thị Bích Ngọc</v>
      </c>
      <c r="I10" s="131"/>
      <c r="J10" s="132"/>
    </row>
    <row r="11" ht="78" customHeight="1" spans="1:10">
      <c r="A11" s="110" t="str">
        <f>IF(AND(E11=""),"","["&amp;TEXT($B$1,"##")&amp;"-"&amp;TEXT(ROW()-9-COUNTBLANK($E$8:E10)+1,"##")&amp;"]")</f>
        <v>[TC_UI_DN-3]</v>
      </c>
      <c r="B11" s="103" t="s">
        <v>27</v>
      </c>
      <c r="C11" s="103" t="s">
        <v>28</v>
      </c>
      <c r="D11" s="103" t="s">
        <v>29</v>
      </c>
      <c r="E11" s="155" t="s">
        <v>30</v>
      </c>
      <c r="F11" s="156" t="s">
        <v>6</v>
      </c>
      <c r="G11" s="107">
        <f ca="1" t="shared" si="0"/>
        <v>45955</v>
      </c>
      <c r="H11" s="108" t="str">
        <f>$B$3</f>
        <v>Nguyễn Thị Bích Ngọc</v>
      </c>
      <c r="I11" s="133"/>
      <c r="J11" s="132"/>
    </row>
    <row r="12" ht="108" customHeight="1" spans="1:10">
      <c r="A12" s="110" t="str">
        <f>IF(AND(E12=""),"","["&amp;TEXT($B$1,"##")&amp;"-"&amp;TEXT(ROW()-9-COUNTBLANK($E$8:E11)+1,"##")&amp;"]")</f>
        <v>[TC_UI_DN-4]</v>
      </c>
      <c r="B12" s="103" t="s">
        <v>31</v>
      </c>
      <c r="C12" s="103" t="s">
        <v>28</v>
      </c>
      <c r="D12" s="103" t="s">
        <v>32</v>
      </c>
      <c r="E12" s="155" t="s">
        <v>33</v>
      </c>
      <c r="F12" s="156" t="s">
        <v>6</v>
      </c>
      <c r="G12" s="107">
        <f ca="1" t="shared" si="0"/>
        <v>45955</v>
      </c>
      <c r="H12" s="108" t="str">
        <f>$B$3</f>
        <v>Nguyễn Thị Bích Ngọc</v>
      </c>
      <c r="I12" s="134"/>
      <c r="J12" s="132"/>
    </row>
    <row r="13" ht="76.5" customHeight="1" spans="1:10">
      <c r="A13" s="110" t="str">
        <f>IF(AND(E13=""),"","["&amp;TEXT($B$1,"##")&amp;"-"&amp;TEXT(ROW()-9-COUNTBLANK($E$8:E12)+1,"##")&amp;"]")</f>
        <v>[TC_UI_DN-5]</v>
      </c>
      <c r="B13" s="103" t="s">
        <v>34</v>
      </c>
      <c r="C13" s="103" t="s">
        <v>35</v>
      </c>
      <c r="D13" s="103" t="s">
        <v>36</v>
      </c>
      <c r="E13" s="155" t="s">
        <v>37</v>
      </c>
      <c r="F13" s="156" t="s">
        <v>6</v>
      </c>
      <c r="G13" s="107">
        <f ca="1" t="shared" si="0"/>
        <v>45955</v>
      </c>
      <c r="H13" s="108" t="str">
        <f>$B$3</f>
        <v>Nguyễn Thị Bích Ngọc</v>
      </c>
      <c r="I13" s="134"/>
      <c r="J13" s="132"/>
    </row>
    <row r="14" ht="73" customHeight="1" spans="1:10">
      <c r="A14" s="110" t="str">
        <f>IF(AND(E14=""),"","["&amp;TEXT($B$1,"##")&amp;"-"&amp;TEXT(ROW()-9-COUNTBLANK($E$8:E13)+1,"##")&amp;"]")</f>
        <v>[TC_UI_DN-6]</v>
      </c>
      <c r="B14" s="103" t="s">
        <v>38</v>
      </c>
      <c r="C14" s="103" t="s">
        <v>35</v>
      </c>
      <c r="D14" s="103" t="s">
        <v>39</v>
      </c>
      <c r="E14" s="155" t="s">
        <v>40</v>
      </c>
      <c r="F14" s="157" t="s">
        <v>6</v>
      </c>
      <c r="G14" s="107">
        <f ca="1" t="shared" si="0"/>
        <v>45955</v>
      </c>
      <c r="H14" s="108" t="str">
        <f>$B$3</f>
        <v>Nguyễn Thị Bích Ngọc</v>
      </c>
      <c r="I14" s="135"/>
      <c r="J14" s="136"/>
    </row>
    <row r="15" s="72" customFormat="1" ht="72" customHeight="1" spans="1:18">
      <c r="A15" s="110" t="str">
        <f>IF(AND(E15=""),"","["&amp;TEXT($B$1,"##")&amp;"-"&amp;TEXT(ROW()-9-COUNTBLANK($E$8:E14)+1,"##")&amp;"]")</f>
        <v>[TC_UI_DN-7]</v>
      </c>
      <c r="B15" s="103" t="s">
        <v>41</v>
      </c>
      <c r="C15" s="103" t="s">
        <v>35</v>
      </c>
      <c r="D15" s="103" t="s">
        <v>42</v>
      </c>
      <c r="E15" s="155" t="s">
        <v>43</v>
      </c>
      <c r="F15" s="157" t="s">
        <v>6</v>
      </c>
      <c r="G15" s="110">
        <f ca="1" t="shared" si="0"/>
        <v>45955</v>
      </c>
      <c r="H15" s="111" t="str">
        <f>$B$3</f>
        <v>Nguyễn Thị Bích Ngọc</v>
      </c>
      <c r="I15" s="137"/>
      <c r="J15" s="138"/>
      <c r="K15" s="139"/>
      <c r="L15" s="139"/>
      <c r="M15" s="139"/>
      <c r="N15" s="139"/>
      <c r="O15" s="139"/>
      <c r="P15" s="139"/>
      <c r="Q15" s="139"/>
      <c r="R15" s="139"/>
    </row>
    <row r="16" ht="66" customHeight="1" spans="1:10">
      <c r="A16" s="110" t="str">
        <f>IF(AND(E16=""),"","["&amp;TEXT($B$1,"##")&amp;"-"&amp;TEXT(ROW()-9-COUNTBLANK($E$8:E15)+1,"##")&amp;"]")</f>
        <v>[TC_UI_DN-8]</v>
      </c>
      <c r="B16" s="103" t="s">
        <v>44</v>
      </c>
      <c r="C16" s="103" t="s">
        <v>35</v>
      </c>
      <c r="D16" s="103" t="s">
        <v>45</v>
      </c>
      <c r="E16" s="155" t="s">
        <v>46</v>
      </c>
      <c r="F16" s="157" t="s">
        <v>6</v>
      </c>
      <c r="G16" s="110">
        <f ca="1" t="shared" si="0"/>
        <v>45955</v>
      </c>
      <c r="H16" s="111" t="str">
        <f>$B$3</f>
        <v>Nguyễn Thị Bích Ngọc</v>
      </c>
      <c r="I16" s="140"/>
      <c r="J16" s="141"/>
    </row>
    <row r="17" ht="67" customHeight="1" spans="1:10">
      <c r="A17" s="110" t="str">
        <f>IF(AND(E17=""),"","["&amp;TEXT($B$1,"##")&amp;"-"&amp;TEXT(ROW()-9-COUNTBLANK($E$8:E16)+1,"##")&amp;"]")</f>
        <v>[TC_UI_DN-9]</v>
      </c>
      <c r="B17" s="158" t="s">
        <v>47</v>
      </c>
      <c r="C17" s="158" t="s">
        <v>35</v>
      </c>
      <c r="D17" s="158" t="s">
        <v>48</v>
      </c>
      <c r="E17" s="158" t="s">
        <v>49</v>
      </c>
      <c r="F17" s="157" t="s">
        <v>6</v>
      </c>
      <c r="G17" s="110">
        <f ca="1" t="shared" si="0"/>
        <v>45955</v>
      </c>
      <c r="H17" s="111" t="str">
        <f>$B$3</f>
        <v>Nguyễn Thị Bích Ngọc</v>
      </c>
      <c r="I17" s="142"/>
      <c r="J17" s="132"/>
    </row>
    <row r="18" ht="51" customHeight="1" spans="1:10">
      <c r="A18" s="159" t="str">
        <f>IF(AND(E18=""),"","["&amp;TEXT($B$1,"##")&amp;"-"&amp;TEXT(ROW()-9-COUNTBLANK($E$8:E18)+1,"##")&amp;"]")</f>
        <v/>
      </c>
      <c r="B18" s="160"/>
      <c r="C18" s="160"/>
      <c r="D18" s="161"/>
      <c r="E18" s="160"/>
      <c r="F18" s="162"/>
      <c r="G18" s="102"/>
      <c r="H18" s="157"/>
      <c r="I18" s="143"/>
      <c r="J18" s="144"/>
    </row>
    <row r="19" ht="76.5" customHeight="1" spans="1:10">
      <c r="A19" s="163"/>
      <c r="B19" s="164"/>
      <c r="C19" s="164"/>
      <c r="D19" s="165"/>
      <c r="E19" s="164"/>
      <c r="F19" s="163"/>
      <c r="G19" s="166"/>
      <c r="H19" s="163"/>
      <c r="I19" s="132"/>
      <c r="J19" s="132"/>
    </row>
    <row r="20" s="73" customFormat="1" spans="1:8">
      <c r="A20" s="118"/>
      <c r="B20" s="119"/>
      <c r="C20" s="119"/>
      <c r="D20" s="120"/>
      <c r="E20" s="119"/>
      <c r="F20" s="118"/>
      <c r="G20" s="121"/>
      <c r="H20" s="118"/>
    </row>
    <row r="21" s="73" customFormat="1" ht="89.25" customHeight="1" spans="1:8">
      <c r="A21" s="118"/>
      <c r="B21" s="119"/>
      <c r="C21" s="119"/>
      <c r="D21" s="120"/>
      <c r="E21" s="119"/>
      <c r="F21" s="118"/>
      <c r="G21" s="121"/>
      <c r="H21" s="118"/>
    </row>
    <row r="22" s="73" customFormat="1" spans="1:8">
      <c r="A22" s="118"/>
      <c r="B22" s="119"/>
      <c r="C22" s="119"/>
      <c r="D22" s="120"/>
      <c r="E22" s="119"/>
      <c r="F22" s="118"/>
      <c r="G22" s="121"/>
      <c r="H22" s="118"/>
    </row>
    <row r="23" s="73" customFormat="1" ht="89.25" customHeight="1" spans="1:8">
      <c r="A23" s="118"/>
      <c r="B23" s="119"/>
      <c r="C23" s="119"/>
      <c r="D23" s="120"/>
      <c r="E23" s="119"/>
      <c r="F23" s="118"/>
      <c r="G23" s="121"/>
      <c r="H23" s="118"/>
    </row>
    <row r="24" s="73" customFormat="1" spans="1:8">
      <c r="A24" s="118"/>
      <c r="B24" s="119"/>
      <c r="C24" s="119"/>
      <c r="D24" s="120"/>
      <c r="E24" s="119"/>
      <c r="F24" s="118"/>
      <c r="G24" s="121"/>
      <c r="H24" s="118"/>
    </row>
    <row r="25" s="73" customFormat="1" ht="76.5" customHeight="1" spans="1:8">
      <c r="A25" s="118"/>
      <c r="B25" s="119"/>
      <c r="C25" s="119"/>
      <c r="D25" s="120"/>
      <c r="E25" s="119"/>
      <c r="F25" s="118"/>
      <c r="G25" s="121"/>
      <c r="H25" s="118"/>
    </row>
    <row r="26" s="73" customFormat="1" spans="1:8">
      <c r="A26" s="118"/>
      <c r="B26" s="119"/>
      <c r="C26" s="119"/>
      <c r="D26" s="120"/>
      <c r="E26" s="119"/>
      <c r="F26" s="118"/>
      <c r="G26" s="121"/>
      <c r="H26" s="118"/>
    </row>
    <row r="27" s="73" customFormat="1" spans="1:8">
      <c r="A27" s="118"/>
      <c r="B27" s="119"/>
      <c r="C27" s="119"/>
      <c r="D27" s="120"/>
      <c r="E27" s="119"/>
      <c r="F27" s="118"/>
      <c r="G27" s="121"/>
      <c r="H27" s="118"/>
    </row>
    <row r="28" s="73" customFormat="1" ht="89.25" customHeight="1" spans="1:8">
      <c r="A28" s="118"/>
      <c r="B28" s="119"/>
      <c r="C28" s="119"/>
      <c r="D28" s="120"/>
      <c r="E28" s="119"/>
      <c r="F28" s="118"/>
      <c r="G28" s="121"/>
      <c r="H28" s="118"/>
    </row>
    <row r="29" s="73" customFormat="1" spans="1:8">
      <c r="A29" s="118"/>
      <c r="B29" s="119"/>
      <c r="C29" s="119"/>
      <c r="D29" s="120"/>
      <c r="E29" s="119"/>
      <c r="F29" s="118"/>
      <c r="G29" s="121"/>
      <c r="H29" s="118"/>
    </row>
    <row r="30" s="73" customFormat="1" ht="76.5" customHeight="1" spans="1:8">
      <c r="A30" s="118"/>
      <c r="B30" s="119"/>
      <c r="C30" s="119"/>
      <c r="D30" s="120"/>
      <c r="E30" s="119"/>
      <c r="F30" s="118"/>
      <c r="G30" s="121"/>
      <c r="H30" s="118"/>
    </row>
    <row r="31" s="73" customFormat="1" spans="1:8">
      <c r="A31" s="118"/>
      <c r="B31" s="119"/>
      <c r="C31" s="119"/>
      <c r="D31" s="120"/>
      <c r="E31" s="119"/>
      <c r="F31" s="118"/>
      <c r="G31" s="121"/>
      <c r="H31" s="118"/>
    </row>
    <row r="32" s="73" customFormat="1" customHeight="1" spans="1:9">
      <c r="A32" s="118"/>
      <c r="B32" s="118"/>
      <c r="C32" s="118"/>
      <c r="D32" s="118"/>
      <c r="E32" s="118"/>
      <c r="F32" s="118"/>
      <c r="G32" s="118"/>
      <c r="H32" s="118"/>
      <c r="I32" s="118"/>
    </row>
    <row r="33" s="73" customFormat="1" spans="1:8">
      <c r="A33" s="118"/>
      <c r="B33" s="119"/>
      <c r="C33" s="119"/>
      <c r="D33" s="120"/>
      <c r="E33" s="119"/>
      <c r="F33" s="118"/>
      <c r="G33" s="121"/>
      <c r="H33" s="118"/>
    </row>
    <row r="34" s="73" customFormat="1" ht="51" customHeight="1" spans="1:8">
      <c r="A34" s="118"/>
      <c r="B34" s="119"/>
      <c r="C34" s="119"/>
      <c r="D34" s="120"/>
      <c r="E34" s="119"/>
      <c r="F34" s="118"/>
      <c r="G34" s="121"/>
      <c r="H34" s="118"/>
    </row>
    <row r="35" s="73" customFormat="1" spans="1:8">
      <c r="A35" s="118"/>
      <c r="B35" s="119"/>
      <c r="C35" s="119"/>
      <c r="D35" s="120"/>
      <c r="E35" s="119"/>
      <c r="F35" s="118"/>
      <c r="G35" s="121"/>
      <c r="H35" s="118"/>
    </row>
    <row r="36" s="73" customFormat="1" customHeight="1" spans="1:9">
      <c r="A36" s="122"/>
      <c r="B36" s="122"/>
      <c r="C36" s="122"/>
      <c r="D36" s="122"/>
      <c r="E36" s="122"/>
      <c r="F36" s="122"/>
      <c r="G36" s="122"/>
      <c r="H36" s="122"/>
      <c r="I36" s="122"/>
    </row>
    <row r="37" s="73" customFormat="1" spans="1:9">
      <c r="A37" s="118"/>
      <c r="B37" s="119"/>
      <c r="C37" s="119"/>
      <c r="D37" s="120"/>
      <c r="E37" s="119"/>
      <c r="F37" s="118"/>
      <c r="G37" s="121"/>
      <c r="H37" s="118"/>
      <c r="I37" s="122"/>
    </row>
    <row r="38" s="73" customFormat="1" ht="76.5" customHeight="1" spans="1:8">
      <c r="A38" s="118"/>
      <c r="B38" s="119"/>
      <c r="C38" s="119"/>
      <c r="D38" s="120"/>
      <c r="E38" s="119"/>
      <c r="F38" s="118"/>
      <c r="G38" s="121"/>
      <c r="H38" s="118"/>
    </row>
    <row r="39" s="73" customFormat="1" spans="1:8">
      <c r="A39" s="118"/>
      <c r="B39" s="119"/>
      <c r="C39" s="119"/>
      <c r="D39" s="120"/>
      <c r="E39" s="123"/>
      <c r="F39" s="118"/>
      <c r="G39" s="121"/>
      <c r="H39" s="118"/>
    </row>
    <row r="40" s="73" customFormat="1" spans="1:8">
      <c r="A40" s="118"/>
      <c r="B40" s="123"/>
      <c r="C40" s="119"/>
      <c r="D40" s="120"/>
      <c r="E40" s="119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spans="1:8">
      <c r="A43" s="118"/>
      <c r="B43" s="123"/>
      <c r="C43" s="119"/>
      <c r="D43" s="120"/>
      <c r="E43" s="123"/>
      <c r="F43" s="118"/>
      <c r="G43" s="121"/>
      <c r="H43" s="118"/>
    </row>
    <row r="44" s="73" customFormat="1" ht="51" customHeight="1" spans="1:8">
      <c r="A44" s="118"/>
      <c r="B44" s="123"/>
      <c r="C44" s="119"/>
      <c r="D44" s="120"/>
      <c r="E44" s="123"/>
      <c r="F44" s="118"/>
      <c r="G44" s="121"/>
      <c r="H44" s="118"/>
    </row>
    <row r="45" s="73" customFormat="1" spans="1:8">
      <c r="A45" s="118"/>
      <c r="B45" s="123"/>
      <c r="C45" s="119"/>
      <c r="D45" s="120"/>
      <c r="E45" s="123"/>
      <c r="F45" s="118"/>
      <c r="G45" s="121"/>
      <c r="H45" s="118"/>
    </row>
    <row r="46" s="73" customFormat="1" spans="1:8">
      <c r="A46" s="118"/>
      <c r="B46" s="123"/>
      <c r="C46" s="119"/>
      <c r="D46" s="120"/>
      <c r="E46" s="123"/>
      <c r="F46" s="118"/>
      <c r="G46" s="121"/>
      <c r="H46" s="118"/>
    </row>
    <row r="47" s="73" customFormat="1" spans="1:8">
      <c r="A47" s="118"/>
      <c r="B47" s="123"/>
      <c r="C47" s="119"/>
      <c r="D47" s="120"/>
      <c r="E47" s="123"/>
      <c r="F47" s="118"/>
      <c r="G47" s="121"/>
      <c r="H47" s="118"/>
    </row>
    <row r="48" s="73" customFormat="1" spans="1:8">
      <c r="A48" s="118"/>
      <c r="B48" s="123"/>
      <c r="C48" s="119"/>
      <c r="D48" s="120"/>
      <c r="E48" s="123"/>
      <c r="F48" s="118"/>
      <c r="G48" s="121"/>
      <c r="H48" s="118"/>
    </row>
    <row r="49" s="73" customFormat="1" spans="1:8">
      <c r="A49" s="118"/>
      <c r="B49" s="123"/>
      <c r="C49" s="123"/>
      <c r="D49" s="120"/>
      <c r="E49" s="123"/>
      <c r="F49" s="118"/>
      <c r="G49" s="121"/>
      <c r="H49" s="118"/>
    </row>
    <row r="50" s="73" customFormat="1" spans="1:8">
      <c r="A50" s="118"/>
      <c r="C50" s="123"/>
      <c r="D50" s="120"/>
      <c r="E50" s="123"/>
      <c r="F50" s="118"/>
      <c r="G50" s="121"/>
      <c r="H50" s="118"/>
    </row>
    <row r="51" s="73" customFormat="1" spans="1:8">
      <c r="A51" s="118"/>
      <c r="B51" s="123"/>
      <c r="C51" s="123"/>
      <c r="D51" s="120"/>
      <c r="E51" s="123"/>
      <c r="F51" s="118"/>
      <c r="G51" s="121"/>
      <c r="H51" s="118"/>
    </row>
    <row r="52" s="73" customFormat="1" spans="1:9">
      <c r="A52" s="124"/>
      <c r="B52" s="124"/>
      <c r="C52" s="124"/>
      <c r="D52" s="124"/>
      <c r="E52" s="124"/>
      <c r="F52" s="124"/>
      <c r="G52" s="124"/>
      <c r="H52" s="124"/>
      <c r="I52" s="124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ht="99" customHeigh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0"/>
      <c r="E58" s="123"/>
      <c r="F58" s="125"/>
      <c r="G58" s="126"/>
      <c r="H58" s="118"/>
      <c r="I58" s="72"/>
    </row>
    <row r="59" s="73" customFormat="1" spans="1:9">
      <c r="A59" s="125"/>
      <c r="B59" s="123"/>
      <c r="C59" s="123"/>
      <c r="D59" s="120"/>
      <c r="E59" s="123"/>
      <c r="F59" s="125"/>
      <c r="G59" s="126"/>
      <c r="H59" s="118"/>
      <c r="I59" s="72"/>
    </row>
    <row r="60" s="73" customFormat="1" spans="1:9">
      <c r="A60" s="125"/>
      <c r="B60" s="123"/>
      <c r="C60" s="123"/>
      <c r="D60" s="120"/>
      <c r="E60" s="123"/>
      <c r="F60" s="125"/>
      <c r="G60" s="126"/>
      <c r="H60" s="118"/>
      <c r="I60" s="72"/>
    </row>
    <row r="61" s="73" customFormat="1" spans="1:9">
      <c r="A61" s="125"/>
      <c r="B61" s="123"/>
      <c r="C61" s="123"/>
      <c r="D61" s="120"/>
      <c r="E61" s="123"/>
      <c r="F61" s="125"/>
      <c r="G61" s="126"/>
      <c r="H61" s="118"/>
      <c r="I61" s="72"/>
    </row>
    <row r="62" s="73" customFormat="1" spans="1:9">
      <c r="A62" s="125"/>
      <c r="B62" s="123"/>
      <c r="C62" s="123"/>
      <c r="D62" s="120"/>
      <c r="E62" s="123"/>
      <c r="F62" s="125"/>
      <c r="G62" s="126"/>
      <c r="H62" s="118"/>
      <c r="I62" s="72"/>
    </row>
    <row r="63" s="73" customFormat="1" spans="1:9">
      <c r="A63" s="125"/>
      <c r="B63" s="123"/>
      <c r="C63" s="123"/>
      <c r="D63" s="120"/>
      <c r="E63" s="123"/>
      <c r="F63" s="125"/>
      <c r="G63" s="126"/>
      <c r="H63" s="118"/>
      <c r="I63" s="72"/>
    </row>
    <row r="64" s="73" customFormat="1" spans="1:9">
      <c r="A64" s="125"/>
      <c r="B64" s="123"/>
      <c r="C64" s="123"/>
      <c r="D64" s="123"/>
      <c r="E64" s="123"/>
      <c r="F64" s="125"/>
      <c r="G64" s="126"/>
      <c r="H64" s="118"/>
      <c r="I64" s="72"/>
    </row>
    <row r="65" s="73" customFormat="1" spans="1:5">
      <c r="A65" s="125"/>
      <c r="B65" s="123"/>
      <c r="C65" s="123"/>
      <c r="D65" s="123"/>
      <c r="E65" s="123"/>
    </row>
    <row r="66" s="73" customFormat="1" spans="1:5">
      <c r="A66" s="125"/>
      <c r="B66" s="123"/>
      <c r="C66" s="123"/>
      <c r="D66" s="123"/>
      <c r="E66" s="123"/>
    </row>
    <row r="67" s="73" customFormat="1" spans="1:5">
      <c r="A67" s="125"/>
      <c r="B67" s="123"/>
      <c r="C67" s="123"/>
      <c r="D67" s="123"/>
      <c r="E67" s="123"/>
    </row>
    <row r="68" s="73" customFormat="1" spans="1:5">
      <c r="A68" s="125"/>
      <c r="B68" s="123"/>
      <c r="C68" s="123"/>
      <c r="D68" s="123"/>
      <c r="E68" s="123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  <row r="73" spans="2:5">
      <c r="B73" s="145"/>
      <c r="C73" s="145"/>
      <c r="D73" s="145"/>
      <c r="E73" s="145"/>
    </row>
    <row r="74" spans="2:5">
      <c r="B74" s="145"/>
      <c r="C74" s="145"/>
      <c r="D74" s="145"/>
      <c r="E74" s="145"/>
    </row>
    <row r="75" spans="2:5">
      <c r="B75" s="145"/>
      <c r="C75" s="145"/>
      <c r="D75" s="145"/>
      <c r="E75" s="145"/>
    </row>
    <row r="76" spans="2:5">
      <c r="B76" s="145"/>
      <c r="C76" s="145"/>
      <c r="D76" s="145"/>
      <c r="E76" s="145"/>
    </row>
    <row r="77" spans="2:5">
      <c r="B77" s="145"/>
      <c r="C77" s="145"/>
      <c r="D77" s="145"/>
      <c r="E77" s="145"/>
    </row>
    <row r="78" spans="2:5">
      <c r="B78" s="145"/>
      <c r="C78" s="145"/>
      <c r="D78" s="145"/>
      <c r="E78" s="145"/>
    </row>
  </sheetData>
  <mergeCells count="6">
    <mergeCell ref="B1:E1"/>
    <mergeCell ref="B2:E2"/>
    <mergeCell ref="B3:E3"/>
    <mergeCell ref="A32:I32"/>
    <mergeCell ref="A36:I36"/>
    <mergeCell ref="A52:I52"/>
  </mergeCells>
  <conditionalFormatting sqref="F34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7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17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3:F64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18:F31 F33 F35 F38:F51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5 F9:F51 F53:F64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zoomScale="70" zoomScaleNormal="70" workbookViewId="0">
      <selection activeCell="E10" sqref="E10"/>
    </sheetView>
  </sheetViews>
  <sheetFormatPr defaultColWidth="9.14285714285714" defaultRowHeight="15"/>
  <cols>
    <col min="1" max="1" width="15.7142857142857" customWidth="1"/>
    <col min="2" max="2" width="27.1428571428571" customWidth="1"/>
    <col min="3" max="3" width="22.647619047619" customWidth="1"/>
    <col min="4" max="4" width="33.6761904761905" customWidth="1"/>
    <col min="5" max="5" width="42.0380952380952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50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20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20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73" customHeight="1" spans="1:10">
      <c r="A9" s="102" t="str">
        <f>IF(AND(E9=""),"","["&amp;TEXT($B$1,"##")&amp;"-"&amp;TEXT(ROW()-9-COUNTBLANK($E$8:E8)+1,"##")&amp;"]")</f>
        <v>[TC_Store-1]</v>
      </c>
      <c r="B9" s="103" t="s">
        <v>51</v>
      </c>
      <c r="C9" s="103" t="s">
        <v>52</v>
      </c>
      <c r="D9" s="103" t="s">
        <v>53</v>
      </c>
      <c r="E9" s="103" t="s">
        <v>54</v>
      </c>
      <c r="F9" s="104" t="s">
        <v>6</v>
      </c>
      <c r="G9" s="105">
        <f ca="1" t="shared" ref="G9:G16" si="0">TODAY()</f>
        <v>45955</v>
      </c>
      <c r="H9" s="106" t="str">
        <f>$B$3</f>
        <v>Nguyễn Thị Bích Ngọc</v>
      </c>
      <c r="I9" s="131"/>
      <c r="J9" s="132"/>
    </row>
    <row r="10" ht="72" customHeight="1" spans="1:10">
      <c r="A10" s="102" t="str">
        <f>IF(AND(E10=""),"","["&amp;TEXT($B$1,"##")&amp;"-"&amp;TEXT(ROW()-9-COUNTBLANK($E$8:E9)+1,"##")&amp;"]")</f>
        <v>[TC_Store-2]</v>
      </c>
      <c r="B10" s="103" t="s">
        <v>55</v>
      </c>
      <c r="C10" s="103" t="s">
        <v>52</v>
      </c>
      <c r="D10" s="103" t="s">
        <v>56</v>
      </c>
      <c r="E10" s="103" t="s">
        <v>54</v>
      </c>
      <c r="F10" s="104" t="s">
        <v>6</v>
      </c>
      <c r="G10" s="107">
        <f ca="1" t="shared" si="0"/>
        <v>45955</v>
      </c>
      <c r="H10" s="108" t="str">
        <f>$B$3</f>
        <v>Nguyễn Thị Bích Ngọc</v>
      </c>
      <c r="I10" s="131"/>
      <c r="J10" s="132"/>
    </row>
    <row r="11" ht="78" customHeight="1" spans="1:10">
      <c r="A11" s="102" t="str">
        <f>IF(AND(E11=""),"","["&amp;TEXT($B$1,"##")&amp;"-"&amp;TEXT(ROW()-9-COUNTBLANK($E$8:E10)+1,"##")&amp;"]")</f>
        <v>[TC_Store-3]</v>
      </c>
      <c r="B11" s="103" t="s">
        <v>57</v>
      </c>
      <c r="C11" s="103" t="s">
        <v>52</v>
      </c>
      <c r="D11" s="103" t="s">
        <v>58</v>
      </c>
      <c r="E11" s="103" t="s">
        <v>59</v>
      </c>
      <c r="F11" s="104" t="s">
        <v>6</v>
      </c>
      <c r="G11" s="107">
        <f ca="1" t="shared" si="0"/>
        <v>45955</v>
      </c>
      <c r="H11" s="108" t="str">
        <f>$B$3</f>
        <v>Nguyễn Thị Bích Ngọc</v>
      </c>
      <c r="I11" s="133"/>
      <c r="J11" s="132"/>
    </row>
    <row r="12" ht="108" customHeight="1" spans="1:10">
      <c r="A12" s="102" t="str">
        <f>IF(AND(E12=""),"","["&amp;TEXT($B$1,"##")&amp;"-"&amp;TEXT(ROW()-9-COUNTBLANK($E$8:E11)+1,"##")&amp;"]")</f>
        <v>[TC_Store-4]</v>
      </c>
      <c r="B12" s="103" t="s">
        <v>60</v>
      </c>
      <c r="C12" s="103" t="s">
        <v>52</v>
      </c>
      <c r="D12" s="103" t="s">
        <v>61</v>
      </c>
      <c r="E12" s="103" t="s">
        <v>62</v>
      </c>
      <c r="F12" s="104" t="s">
        <v>6</v>
      </c>
      <c r="G12" s="107">
        <f ca="1" t="shared" si="0"/>
        <v>45955</v>
      </c>
      <c r="H12" s="108" t="str">
        <f>$B$3</f>
        <v>Nguyễn Thị Bích Ngọc</v>
      </c>
      <c r="I12" s="134"/>
      <c r="J12" s="132"/>
    </row>
    <row r="13" ht="76.5" customHeight="1" spans="1:10">
      <c r="A13" s="102" t="str">
        <f>IF(AND(E13=""),"","["&amp;TEXT($B$1,"##")&amp;"-"&amp;TEXT(ROW()-9-COUNTBLANK($E$8:E12)+1,"##")&amp;"]")</f>
        <v>[TC_Store-5]</v>
      </c>
      <c r="B13" s="103" t="s">
        <v>63</v>
      </c>
      <c r="C13" s="103" t="s">
        <v>52</v>
      </c>
      <c r="D13" s="103" t="s">
        <v>64</v>
      </c>
      <c r="E13" s="103" t="s">
        <v>65</v>
      </c>
      <c r="F13" s="104" t="s">
        <v>6</v>
      </c>
      <c r="G13" s="107">
        <f ca="1" t="shared" si="0"/>
        <v>45955</v>
      </c>
      <c r="H13" s="108" t="str">
        <f>$B$3</f>
        <v>Nguyễn Thị Bích Ngọc</v>
      </c>
      <c r="I13" s="134"/>
      <c r="J13" s="132"/>
    </row>
    <row r="14" ht="73" customHeight="1" spans="1:10">
      <c r="A14" s="102" t="str">
        <f>IF(AND(E14=""),"","["&amp;TEXT($B$1,"##")&amp;"-"&amp;TEXT(ROW()-9-COUNTBLANK($E$8:E13)+1,"##")&amp;"]")</f>
        <v>[TC_Store-6]</v>
      </c>
      <c r="B14" s="103" t="s">
        <v>66</v>
      </c>
      <c r="C14" s="103" t="s">
        <v>52</v>
      </c>
      <c r="D14" s="103" t="s">
        <v>64</v>
      </c>
      <c r="E14" s="103" t="s">
        <v>67</v>
      </c>
      <c r="F14" s="109" t="s">
        <v>6</v>
      </c>
      <c r="G14" s="107">
        <f ca="1" t="shared" si="0"/>
        <v>45955</v>
      </c>
      <c r="H14" s="108" t="str">
        <f>$B$3</f>
        <v>Nguyễn Thị Bích Ngọc</v>
      </c>
      <c r="I14" s="135"/>
      <c r="J14" s="136"/>
    </row>
    <row r="15" s="72" customFormat="1" ht="72" customHeight="1" spans="1:18">
      <c r="A15" s="102" t="str">
        <f>IF(AND(E15=""),"","["&amp;TEXT($B$1,"##")&amp;"-"&amp;TEXT(ROW()-9-COUNTBLANK($E$8:E14)+1,"##")&amp;"]")</f>
        <v>[TC_Store-7]</v>
      </c>
      <c r="B15" s="103" t="s">
        <v>68</v>
      </c>
      <c r="C15" s="103" t="s">
        <v>52</v>
      </c>
      <c r="D15" s="103" t="s">
        <v>69</v>
      </c>
      <c r="E15" s="103" t="s">
        <v>70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37"/>
      <c r="J15" s="138"/>
      <c r="K15" s="139"/>
      <c r="L15" s="139"/>
      <c r="M15" s="139"/>
      <c r="N15" s="139"/>
      <c r="O15" s="139"/>
      <c r="P15" s="139"/>
      <c r="Q15" s="139"/>
      <c r="R15" s="139"/>
    </row>
    <row r="16" ht="66" customHeight="1" spans="1:10">
      <c r="A16" s="102" t="str">
        <f>IF(AND(E16=""),"","["&amp;TEXT($B$1,"##")&amp;"-"&amp;TEXT(ROW()-9-COUNTBLANK($E$8:E15)+1,"##")&amp;"]")</f>
        <v>[TC_Store-8]</v>
      </c>
      <c r="B16" s="103" t="s">
        <v>71</v>
      </c>
      <c r="C16" s="103" t="s">
        <v>52</v>
      </c>
      <c r="D16" s="103" t="s">
        <v>72</v>
      </c>
      <c r="E16" s="103" t="s">
        <v>73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0"/>
      <c r="J16" s="141"/>
    </row>
    <row r="17" ht="46" customHeight="1" spans="1:10">
      <c r="A17" s="102" t="str">
        <f>IF(AND(E17=""),"","["&amp;TEXT($B$1,"##")&amp;"-"&amp;TEXT(ROW()-9-COUNTBLANK($E$8:E16)+1,"##")&amp;"]")</f>
        <v>[TC_Store-9]</v>
      </c>
      <c r="B17" s="103" t="s">
        <v>74</v>
      </c>
      <c r="C17" s="103" t="s">
        <v>52</v>
      </c>
      <c r="D17" s="103" t="s">
        <v>75</v>
      </c>
      <c r="E17" s="103" t="s">
        <v>76</v>
      </c>
      <c r="F17" s="109" t="s">
        <v>6</v>
      </c>
      <c r="G17" s="110">
        <f ca="1" t="shared" ref="G17:G29" si="1">TODAY()</f>
        <v>45955</v>
      </c>
      <c r="H17" s="111" t="str">
        <f>$B$3</f>
        <v>Nguyễn Thị Bích Ngọc</v>
      </c>
      <c r="I17" s="142"/>
      <c r="J17" s="132"/>
    </row>
    <row r="18" ht="51" customHeight="1" spans="1:10">
      <c r="A18" s="102" t="str">
        <f>IF(AND(E18=""),"","["&amp;TEXT($B$1,"##")&amp;"-"&amp;TEXT(ROW()-9-COUNTBLANK($E$8:E17)+1,"##")&amp;"]")</f>
        <v>[TC_Store-10]</v>
      </c>
      <c r="B18" s="103" t="s">
        <v>77</v>
      </c>
      <c r="C18" s="103" t="s">
        <v>52</v>
      </c>
      <c r="D18" s="103" t="s">
        <v>78</v>
      </c>
      <c r="E18" s="103" t="s">
        <v>79</v>
      </c>
      <c r="F18" s="109" t="s">
        <v>6</v>
      </c>
      <c r="G18" s="110">
        <f ca="1" t="shared" si="1"/>
        <v>45955</v>
      </c>
      <c r="H18" s="111" t="str">
        <f>$B$3</f>
        <v>Nguyễn Thị Bích Ngọc</v>
      </c>
      <c r="I18" s="143"/>
      <c r="J18" s="144"/>
    </row>
    <row r="19" ht="76.5" customHeight="1" spans="1:10">
      <c r="A19" s="102" t="str">
        <f>IF(AND(E19=""),"","["&amp;TEXT($B$1,"##")&amp;"-"&amp;TEXT(ROW()-9-COUNTBLANK($E$8:E18)+1,"##")&amp;"]")</f>
        <v>[TC_Store-11]</v>
      </c>
      <c r="B19" s="103" t="s">
        <v>80</v>
      </c>
      <c r="C19" s="103" t="s">
        <v>52</v>
      </c>
      <c r="D19" s="103" t="s">
        <v>81</v>
      </c>
      <c r="E19" s="103" t="s">
        <v>82</v>
      </c>
      <c r="F19" s="109" t="s">
        <v>6</v>
      </c>
      <c r="G19" s="110">
        <f ca="1" t="shared" si="1"/>
        <v>45955</v>
      </c>
      <c r="H19" s="111" t="str">
        <f>$B$3</f>
        <v>Nguyễn Thị Bích Ngọc</v>
      </c>
      <c r="I19" s="132"/>
      <c r="J19" s="132"/>
    </row>
    <row r="20" s="73" customFormat="1" ht="58" customHeight="1" spans="1:10">
      <c r="A20" s="102" t="str">
        <f>IF(AND(E20=""),"","["&amp;TEXT($B$1,"##")&amp;"-"&amp;TEXT(ROW()-9-COUNTBLANK($E$8:E19)+1,"##")&amp;"]")</f>
        <v>[TC_Store-12]</v>
      </c>
      <c r="B20" s="103" t="s">
        <v>83</v>
      </c>
      <c r="C20" s="103" t="s">
        <v>52</v>
      </c>
      <c r="D20" s="103" t="s">
        <v>84</v>
      </c>
      <c r="E20" s="103" t="s">
        <v>85</v>
      </c>
      <c r="F20" s="109" t="s">
        <v>6</v>
      </c>
      <c r="G20" s="110">
        <f ca="1" t="shared" si="1"/>
        <v>45955</v>
      </c>
      <c r="H20" s="111" t="str">
        <f>$B$3</f>
        <v>Nguyễn Thị Bích Ngọc</v>
      </c>
      <c r="I20" s="132"/>
      <c r="J20" s="132"/>
    </row>
    <row r="21" s="73" customFormat="1" ht="89.25" customHeight="1" spans="1:10">
      <c r="A21" s="102" t="str">
        <f>IF(AND(E21=""),"","["&amp;TEXT($B$1,"##")&amp;"-"&amp;TEXT(ROW()-9-COUNTBLANK($E$8:E20)+1,"##")&amp;"]")</f>
        <v>[TC_Store-13]</v>
      </c>
      <c r="B21" s="103" t="s">
        <v>86</v>
      </c>
      <c r="C21" s="103" t="s">
        <v>52</v>
      </c>
      <c r="D21" s="103" t="s">
        <v>87</v>
      </c>
      <c r="E21" s="103" t="s">
        <v>88</v>
      </c>
      <c r="F21" s="109" t="s">
        <v>6</v>
      </c>
      <c r="G21" s="110">
        <f ca="1" t="shared" si="1"/>
        <v>45955</v>
      </c>
      <c r="H21" s="111" t="str">
        <f>$B$3</f>
        <v>Nguyễn Thị Bích Ngọc</v>
      </c>
      <c r="I21" s="132"/>
      <c r="J21" s="132"/>
    </row>
    <row r="22" s="73" customFormat="1" ht="63" customHeight="1" spans="1:10">
      <c r="A22" s="102" t="str">
        <f>IF(AND(E22=""),"","["&amp;TEXT($B$1,"##")&amp;"-"&amp;TEXT(ROW()-9-COUNTBLANK($E$8:E21)+1,"##")&amp;"]")</f>
        <v>[TC_Store-14]</v>
      </c>
      <c r="B22" s="103" t="s">
        <v>89</v>
      </c>
      <c r="C22" s="103" t="s">
        <v>90</v>
      </c>
      <c r="D22" s="103" t="s">
        <v>91</v>
      </c>
      <c r="E22" s="103" t="s">
        <v>92</v>
      </c>
      <c r="F22" s="109" t="s">
        <v>6</v>
      </c>
      <c r="G22" s="110">
        <f ca="1" t="shared" si="1"/>
        <v>45955</v>
      </c>
      <c r="H22" s="111" t="str">
        <f>$B$3</f>
        <v>Nguyễn Thị Bích Ngọc</v>
      </c>
      <c r="I22" s="132"/>
      <c r="J22" s="132"/>
    </row>
    <row r="23" s="73" customFormat="1" ht="89.25" customHeight="1" spans="1:10">
      <c r="A23" s="102" t="str">
        <f>IF(AND(E23=""),"","["&amp;TEXT($B$1,"##")&amp;"-"&amp;TEXT(ROW()-9-COUNTBLANK($E$8:E22)+1,"##")&amp;"]")</f>
        <v>[TC_Store-15]</v>
      </c>
      <c r="B23" s="103" t="s">
        <v>93</v>
      </c>
      <c r="C23" s="103" t="s">
        <v>94</v>
      </c>
      <c r="D23" s="103" t="s">
        <v>91</v>
      </c>
      <c r="E23" s="103" t="s">
        <v>95</v>
      </c>
      <c r="F23" s="109" t="s">
        <v>6</v>
      </c>
      <c r="G23" s="110">
        <f ca="1" t="shared" si="1"/>
        <v>45955</v>
      </c>
      <c r="H23" s="111" t="str">
        <f>$B$3</f>
        <v>Nguyễn Thị Bích Ngọc</v>
      </c>
      <c r="I23" s="132"/>
      <c r="J23" s="132"/>
    </row>
    <row r="24" s="73" customFormat="1" ht="57" customHeight="1" spans="1:10">
      <c r="A24" s="102" t="str">
        <f>IF(AND(E24=""),"","["&amp;TEXT($B$1,"##")&amp;"-"&amp;TEXT(ROW()-9-COUNTBLANK($E$8:E23)+1,"##")&amp;"]")</f>
        <v>[TC_Store-16]</v>
      </c>
      <c r="B24" s="103" t="s">
        <v>96</v>
      </c>
      <c r="C24" s="103" t="s">
        <v>52</v>
      </c>
      <c r="D24" s="103" t="s">
        <v>97</v>
      </c>
      <c r="E24" s="103" t="s">
        <v>98</v>
      </c>
      <c r="F24" s="109" t="s">
        <v>6</v>
      </c>
      <c r="G24" s="110">
        <f ca="1" t="shared" si="1"/>
        <v>45955</v>
      </c>
      <c r="H24" s="111" t="str">
        <f>$B$3</f>
        <v>Nguyễn Thị Bích Ngọc</v>
      </c>
      <c r="I24" s="132"/>
      <c r="J24" s="132"/>
    </row>
    <row r="25" s="73" customFormat="1" ht="76.5" customHeight="1" spans="1:10">
      <c r="A25" s="102" t="str">
        <f>IF(AND(E25=""),"","["&amp;TEXT($B$1,"##")&amp;"-"&amp;TEXT(ROW()-9-COUNTBLANK($E$8:E24)+1,"##")&amp;"]")</f>
        <v>[TC_Store-17]</v>
      </c>
      <c r="B25" s="103" t="s">
        <v>99</v>
      </c>
      <c r="C25" s="103" t="s">
        <v>52</v>
      </c>
      <c r="D25" s="103" t="s">
        <v>100</v>
      </c>
      <c r="E25" s="103" t="s">
        <v>101</v>
      </c>
      <c r="F25" s="109" t="s">
        <v>6</v>
      </c>
      <c r="G25" s="110">
        <f ca="1" t="shared" si="1"/>
        <v>45955</v>
      </c>
      <c r="H25" s="111" t="str">
        <f>$B$3</f>
        <v>Nguyễn Thị Bích Ngọc</v>
      </c>
      <c r="I25" s="132"/>
      <c r="J25" s="132"/>
    </row>
    <row r="26" s="73" customFormat="1" ht="54" customHeight="1" spans="1:10">
      <c r="A26" s="102" t="str">
        <f>IF(AND(E26=""),"","["&amp;TEXT($B$1,"##")&amp;"-"&amp;TEXT(ROW()-9-COUNTBLANK($E$8:E25)+1,"##")&amp;"]")</f>
        <v>[TC_Store-18]</v>
      </c>
      <c r="B26" s="103" t="s">
        <v>102</v>
      </c>
      <c r="C26" s="103" t="s">
        <v>52</v>
      </c>
      <c r="D26" s="103" t="s">
        <v>103</v>
      </c>
      <c r="E26" s="103" t="s">
        <v>104</v>
      </c>
      <c r="F26" s="109" t="s">
        <v>6</v>
      </c>
      <c r="G26" s="110">
        <f ca="1" t="shared" si="1"/>
        <v>45955</v>
      </c>
      <c r="H26" s="111" t="str">
        <f>$B$3</f>
        <v>Nguyễn Thị Bích Ngọc</v>
      </c>
      <c r="I26" s="132"/>
      <c r="J26" s="132"/>
    </row>
    <row r="27" s="73" customFormat="1" ht="49" customHeight="1" spans="1:10">
      <c r="A27" s="102" t="str">
        <f>IF(AND(E27=""),"","["&amp;TEXT($B$1,"##")&amp;"-"&amp;TEXT(ROW()-9-COUNTBLANK($E$8:E26)+1,"##")&amp;"]")</f>
        <v>[TC_Store-19]</v>
      </c>
      <c r="B27" s="103" t="s">
        <v>105</v>
      </c>
      <c r="C27" s="103" t="s">
        <v>52</v>
      </c>
      <c r="D27" s="103" t="s">
        <v>106</v>
      </c>
      <c r="E27" s="103" t="s">
        <v>107</v>
      </c>
      <c r="F27" s="109" t="s">
        <v>6</v>
      </c>
      <c r="G27" s="110">
        <f ca="1" t="shared" si="1"/>
        <v>45955</v>
      </c>
      <c r="H27" s="111" t="str">
        <f>$B$3</f>
        <v>Nguyễn Thị Bích Ngọc</v>
      </c>
      <c r="I27" s="132"/>
      <c r="J27" s="132"/>
    </row>
    <row r="28" s="73" customFormat="1" ht="89.25" customHeight="1" spans="1:10">
      <c r="A28" s="102" t="str">
        <f>IF(AND(E28=""),"","["&amp;TEXT($B$1,"##")&amp;"-"&amp;TEXT(ROW()-9-COUNTBLANK($E$8:E27)+1,"##")&amp;"]")</f>
        <v>[TC_Store-20]</v>
      </c>
      <c r="B28" s="103" t="s">
        <v>108</v>
      </c>
      <c r="C28" s="103" t="s">
        <v>52</v>
      </c>
      <c r="D28" s="103" t="s">
        <v>109</v>
      </c>
      <c r="E28" s="103" t="s">
        <v>110</v>
      </c>
      <c r="F28" s="109" t="s">
        <v>6</v>
      </c>
      <c r="G28" s="110">
        <f ca="1" t="shared" si="1"/>
        <v>45955</v>
      </c>
      <c r="H28" s="111" t="str">
        <f>$B$3</f>
        <v>Nguyễn Thị Bích Ngọc</v>
      </c>
      <c r="I28" s="132"/>
      <c r="J28" s="132"/>
    </row>
    <row r="29" s="73" customFormat="1" ht="16.5" spans="1:8">
      <c r="A29" s="118"/>
      <c r="B29" s="119"/>
      <c r="C29" s="119"/>
      <c r="D29" s="120"/>
      <c r="E29" s="119"/>
      <c r="F29" s="118"/>
      <c r="G29" s="110"/>
      <c r="H29" s="118"/>
    </row>
    <row r="30" s="73" customFormat="1" ht="76.5" customHeight="1" spans="1:8">
      <c r="A30" s="118"/>
      <c r="B30" s="119"/>
      <c r="C30" s="119"/>
      <c r="D30" s="120"/>
      <c r="E30" s="119"/>
      <c r="F30" s="118"/>
      <c r="G30" s="121"/>
      <c r="H30" s="118"/>
    </row>
    <row r="31" s="73" customFormat="1" spans="1:8">
      <c r="A31" s="118"/>
      <c r="B31" s="119"/>
      <c r="C31" s="119"/>
      <c r="D31" s="120"/>
      <c r="E31" s="119"/>
      <c r="F31" s="118"/>
      <c r="G31" s="121"/>
      <c r="H31" s="118"/>
    </row>
    <row r="32" s="73" customFormat="1" customHeight="1" spans="1:9">
      <c r="A32" s="118"/>
      <c r="B32" s="118"/>
      <c r="C32" s="118"/>
      <c r="D32" s="118"/>
      <c r="E32" s="118"/>
      <c r="F32" s="118"/>
      <c r="G32" s="118"/>
      <c r="H32" s="118"/>
      <c r="I32" s="118"/>
    </row>
    <row r="33" s="73" customFormat="1" spans="1:8">
      <c r="A33" s="118"/>
      <c r="B33" s="119"/>
      <c r="C33" s="119"/>
      <c r="D33" s="120"/>
      <c r="E33" s="119"/>
      <c r="F33" s="118"/>
      <c r="G33" s="121"/>
      <c r="H33" s="118"/>
    </row>
    <row r="34" s="73" customFormat="1" ht="51" customHeight="1" spans="1:8">
      <c r="A34" s="118"/>
      <c r="B34" s="119"/>
      <c r="C34" s="119"/>
      <c r="D34" s="120"/>
      <c r="E34" s="119"/>
      <c r="F34" s="118"/>
      <c r="G34" s="121"/>
      <c r="H34" s="118"/>
    </row>
    <row r="35" s="73" customFormat="1" spans="1:8">
      <c r="A35" s="118"/>
      <c r="B35" s="119"/>
      <c r="C35" s="119"/>
      <c r="D35" s="120"/>
      <c r="E35" s="119"/>
      <c r="F35" s="118"/>
      <c r="G35" s="121"/>
      <c r="H35" s="118"/>
    </row>
    <row r="36" s="73" customFormat="1" customHeight="1" spans="1:9">
      <c r="A36" s="122"/>
      <c r="B36" s="122"/>
      <c r="C36" s="122"/>
      <c r="D36" s="122"/>
      <c r="E36" s="122"/>
      <c r="F36" s="122"/>
      <c r="G36" s="122"/>
      <c r="H36" s="122"/>
      <c r="I36" s="122"/>
    </row>
    <row r="37" s="73" customFormat="1" spans="1:9">
      <c r="A37" s="118"/>
      <c r="B37" s="119"/>
      <c r="C37" s="119"/>
      <c r="D37" s="120"/>
      <c r="E37" s="119"/>
      <c r="F37" s="118"/>
      <c r="G37" s="121"/>
      <c r="H37" s="118"/>
      <c r="I37" s="122"/>
    </row>
    <row r="38" s="73" customFormat="1" ht="76.5" customHeight="1" spans="1:8">
      <c r="A38" s="118"/>
      <c r="B38" s="119"/>
      <c r="C38" s="119"/>
      <c r="D38" s="120"/>
      <c r="E38" s="119"/>
      <c r="F38" s="118"/>
      <c r="G38" s="121"/>
      <c r="H38" s="118"/>
    </row>
    <row r="39" s="73" customFormat="1" spans="1:8">
      <c r="A39" s="118"/>
      <c r="B39" s="119"/>
      <c r="C39" s="119"/>
      <c r="D39" s="120"/>
      <c r="E39" s="123"/>
      <c r="F39" s="118"/>
      <c r="G39" s="121"/>
      <c r="H39" s="118"/>
    </row>
    <row r="40" s="73" customFormat="1" spans="1:8">
      <c r="A40" s="118"/>
      <c r="B40" s="123"/>
      <c r="C40" s="119"/>
      <c r="D40" s="120"/>
      <c r="E40" s="119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spans="1:8">
      <c r="A43" s="118"/>
      <c r="B43" s="123"/>
      <c r="C43" s="119"/>
      <c r="D43" s="120"/>
      <c r="E43" s="123"/>
      <c r="F43" s="118"/>
      <c r="G43" s="121"/>
      <c r="H43" s="118"/>
    </row>
    <row r="44" s="73" customFormat="1" ht="51" customHeight="1" spans="1:8">
      <c r="A44" s="118"/>
      <c r="B44" s="123"/>
      <c r="C44" s="119"/>
      <c r="D44" s="120"/>
      <c r="E44" s="123"/>
      <c r="F44" s="118"/>
      <c r="G44" s="121"/>
      <c r="H44" s="118"/>
    </row>
    <row r="45" s="73" customFormat="1" spans="1:8">
      <c r="A45" s="118"/>
      <c r="B45" s="123"/>
      <c r="C45" s="119"/>
      <c r="D45" s="120"/>
      <c r="E45" s="123"/>
      <c r="F45" s="118"/>
      <c r="G45" s="121"/>
      <c r="H45" s="118"/>
    </row>
    <row r="46" s="73" customFormat="1" spans="1:8">
      <c r="A46" s="118"/>
      <c r="B46" s="123"/>
      <c r="C46" s="119"/>
      <c r="D46" s="120"/>
      <c r="E46" s="123"/>
      <c r="F46" s="118"/>
      <c r="G46" s="121"/>
      <c r="H46" s="118"/>
    </row>
    <row r="47" s="73" customFormat="1" spans="1:8">
      <c r="A47" s="118"/>
      <c r="B47" s="123"/>
      <c r="C47" s="119"/>
      <c r="D47" s="120"/>
      <c r="E47" s="123"/>
      <c r="F47" s="118"/>
      <c r="G47" s="121"/>
      <c r="H47" s="118"/>
    </row>
    <row r="48" s="73" customFormat="1" spans="1:8">
      <c r="A48" s="118"/>
      <c r="B48" s="123"/>
      <c r="C48" s="119"/>
      <c r="D48" s="120"/>
      <c r="E48" s="123"/>
      <c r="F48" s="118"/>
      <c r="G48" s="121"/>
      <c r="H48" s="118"/>
    </row>
    <row r="49" s="73" customFormat="1" spans="1:8">
      <c r="A49" s="118"/>
      <c r="B49" s="123"/>
      <c r="C49" s="123"/>
      <c r="D49" s="120"/>
      <c r="E49" s="123"/>
      <c r="F49" s="118"/>
      <c r="G49" s="121"/>
      <c r="H49" s="118"/>
    </row>
    <row r="50" s="73" customFormat="1" spans="1:8">
      <c r="A50" s="118"/>
      <c r="C50" s="123"/>
      <c r="D50" s="120"/>
      <c r="E50" s="123"/>
      <c r="F50" s="118"/>
      <c r="G50" s="121"/>
      <c r="H50" s="118"/>
    </row>
    <row r="51" s="73" customFormat="1" spans="1:8">
      <c r="A51" s="118"/>
      <c r="B51" s="123"/>
      <c r="C51" s="123"/>
      <c r="D51" s="120"/>
      <c r="E51" s="123"/>
      <c r="F51" s="118"/>
      <c r="G51" s="121"/>
      <c r="H51" s="118"/>
    </row>
    <row r="52" s="73" customFormat="1" spans="1:9">
      <c r="A52" s="124"/>
      <c r="B52" s="124"/>
      <c r="C52" s="124"/>
      <c r="D52" s="124"/>
      <c r="E52" s="124"/>
      <c r="F52" s="124"/>
      <c r="G52" s="124"/>
      <c r="H52" s="124"/>
      <c r="I52" s="124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ht="99" customHeigh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0"/>
      <c r="E58" s="123"/>
      <c r="F58" s="125"/>
      <c r="G58" s="126"/>
      <c r="H58" s="118"/>
      <c r="I58" s="72"/>
    </row>
    <row r="59" s="73" customFormat="1" spans="1:9">
      <c r="A59" s="125"/>
      <c r="B59" s="123"/>
      <c r="C59" s="123"/>
      <c r="D59" s="120"/>
      <c r="E59" s="123"/>
      <c r="F59" s="125"/>
      <c r="G59" s="126"/>
      <c r="H59" s="118"/>
      <c r="I59" s="72"/>
    </row>
    <row r="60" s="73" customFormat="1" spans="1:9">
      <c r="A60" s="125"/>
      <c r="B60" s="123"/>
      <c r="C60" s="123"/>
      <c r="D60" s="120"/>
      <c r="E60" s="123"/>
      <c r="F60" s="125"/>
      <c r="G60" s="126"/>
      <c r="H60" s="118"/>
      <c r="I60" s="72"/>
    </row>
    <row r="61" s="73" customFormat="1" spans="1:9">
      <c r="A61" s="125"/>
      <c r="B61" s="123"/>
      <c r="C61" s="123"/>
      <c r="D61" s="120"/>
      <c r="E61" s="123"/>
      <c r="F61" s="125"/>
      <c r="G61" s="126"/>
      <c r="H61" s="118"/>
      <c r="I61" s="72"/>
    </row>
    <row r="62" s="73" customFormat="1" spans="1:9">
      <c r="A62" s="125"/>
      <c r="B62" s="123"/>
      <c r="C62" s="123"/>
      <c r="D62" s="120"/>
      <c r="E62" s="123"/>
      <c r="F62" s="125"/>
      <c r="G62" s="126"/>
      <c r="H62" s="118"/>
      <c r="I62" s="72"/>
    </row>
    <row r="63" s="73" customFormat="1" spans="1:9">
      <c r="A63" s="125"/>
      <c r="B63" s="123"/>
      <c r="C63" s="123"/>
      <c r="D63" s="120"/>
      <c r="E63" s="123"/>
      <c r="F63" s="125"/>
      <c r="G63" s="126"/>
      <c r="H63" s="118"/>
      <c r="I63" s="72"/>
    </row>
    <row r="64" s="73" customFormat="1" spans="1:9">
      <c r="A64" s="125"/>
      <c r="B64" s="123"/>
      <c r="C64" s="123"/>
      <c r="D64" s="123"/>
      <c r="E64" s="123"/>
      <c r="F64" s="125"/>
      <c r="G64" s="126"/>
      <c r="H64" s="118"/>
      <c r="I64" s="72"/>
    </row>
    <row r="65" s="73" customFormat="1" spans="1:5">
      <c r="A65" s="125"/>
      <c r="B65" s="123"/>
      <c r="C65" s="123"/>
      <c r="D65" s="123"/>
      <c r="E65" s="123"/>
    </row>
    <row r="66" s="73" customFormat="1" spans="1:5">
      <c r="A66" s="125"/>
      <c r="B66" s="123"/>
      <c r="C66" s="123"/>
      <c r="D66" s="123"/>
      <c r="E66" s="123"/>
    </row>
    <row r="67" s="73" customFormat="1" spans="1:5">
      <c r="A67" s="125"/>
      <c r="B67" s="123"/>
      <c r="C67" s="123"/>
      <c r="D67" s="123"/>
      <c r="E67" s="123"/>
    </row>
    <row r="68" s="73" customFormat="1" spans="1:5">
      <c r="A68" s="125"/>
      <c r="B68" s="123"/>
      <c r="C68" s="123"/>
      <c r="D68" s="123"/>
      <c r="E68" s="123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  <row r="73" spans="2:5">
      <c r="B73" s="145"/>
      <c r="C73" s="145"/>
      <c r="D73" s="145"/>
      <c r="E73" s="145"/>
    </row>
    <row r="74" spans="2:5">
      <c r="B74" s="145"/>
      <c r="C74" s="145"/>
      <c r="D74" s="145"/>
      <c r="E74" s="145"/>
    </row>
    <row r="75" spans="2:5">
      <c r="B75" s="145"/>
      <c r="C75" s="145"/>
      <c r="D75" s="145"/>
      <c r="E75" s="145"/>
    </row>
    <row r="76" spans="2:5">
      <c r="B76" s="145"/>
      <c r="C76" s="145"/>
      <c r="D76" s="145"/>
      <c r="E76" s="145"/>
    </row>
    <row r="77" spans="2:5">
      <c r="B77" s="145"/>
      <c r="C77" s="145"/>
      <c r="D77" s="145"/>
      <c r="E77" s="145"/>
    </row>
    <row r="78" spans="2:5">
      <c r="B78" s="145"/>
      <c r="C78" s="145"/>
      <c r="D78" s="145"/>
      <c r="E78" s="145"/>
    </row>
  </sheetData>
  <mergeCells count="6">
    <mergeCell ref="B1:E1"/>
    <mergeCell ref="B2:E2"/>
    <mergeCell ref="B3:E3"/>
    <mergeCell ref="A32:I32"/>
    <mergeCell ref="A36:I36"/>
    <mergeCell ref="A52:I52"/>
  </mergeCells>
  <conditionalFormatting sqref="F34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7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8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3:F64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9:F31 F33 F35 F38:F51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5 F9:F51 F53:F64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zoomScale="70" zoomScaleNormal="70" workbookViewId="0">
      <selection activeCell="A9" sqref="A9"/>
    </sheetView>
  </sheetViews>
  <sheetFormatPr defaultColWidth="9.14285714285714" defaultRowHeight="15"/>
  <cols>
    <col min="1" max="1" width="15.5047619047619" customWidth="1"/>
    <col min="2" max="2" width="27.1428571428571" customWidth="1"/>
    <col min="3" max="3" width="24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111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11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11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76.5" customHeight="1" spans="1:10">
      <c r="A9" s="102" t="str">
        <f>IF(AND(E9=""),"","["&amp;TEXT($B$1,"##")&amp;"-"&amp;TEXT(ROW()-9-COUNTBLANK($E$8:E8)+1,"##")&amp;"]")</f>
        <v>[TC_Home-1]</v>
      </c>
      <c r="B9" s="103" t="s">
        <v>112</v>
      </c>
      <c r="C9" s="103" t="s">
        <v>113</v>
      </c>
      <c r="D9" s="103" t="s">
        <v>114</v>
      </c>
      <c r="E9" s="103" t="s">
        <v>115</v>
      </c>
      <c r="F9" s="104" t="s">
        <v>6</v>
      </c>
      <c r="G9" s="107">
        <f ca="1">TODAY()</f>
        <v>45955</v>
      </c>
      <c r="H9" s="108" t="str">
        <f>$B$3</f>
        <v>Nguyễn Thị Bích Ngọc</v>
      </c>
      <c r="I9" s="134"/>
      <c r="J9" s="132"/>
    </row>
    <row r="10" s="149" customFormat="1" ht="53" customHeight="1" spans="1:18">
      <c r="A10" s="102" t="str">
        <f>IF(AND(E10=""),"","["&amp;TEXT($B$1,"##")&amp;"-"&amp;TEXT(ROW()-9-COUNTBLANK($E$8:E9)+1,"##")&amp;"]")</f>
        <v>[TC_Home-2]</v>
      </c>
      <c r="B10" s="103" t="s">
        <v>20</v>
      </c>
      <c r="C10" s="103" t="s">
        <v>116</v>
      </c>
      <c r="D10" s="103" t="s">
        <v>117</v>
      </c>
      <c r="E10" s="103" t="s">
        <v>118</v>
      </c>
      <c r="F10" s="104" t="s">
        <v>6</v>
      </c>
      <c r="G10" s="107">
        <f ca="1">TODAY()</f>
        <v>45955</v>
      </c>
      <c r="H10" s="108" t="str">
        <f>$B$3</f>
        <v>Nguyễn Thị Bích Ngọc</v>
      </c>
      <c r="I10" s="153"/>
      <c r="J10" s="138"/>
      <c r="K10" s="154"/>
      <c r="L10" s="154"/>
      <c r="M10" s="154"/>
      <c r="N10" s="154"/>
      <c r="O10" s="154"/>
      <c r="P10" s="154"/>
      <c r="Q10" s="154"/>
      <c r="R10" s="154"/>
    </row>
    <row r="11" s="72" customFormat="1" ht="53" customHeight="1" spans="1:18">
      <c r="A11" s="102" t="str">
        <f>IF(AND(E11=""),"","["&amp;TEXT($B$1,"##")&amp;"-"&amp;TEXT(ROW()-9-COUNTBLANK($E$8:E10)+1,"##")&amp;"]")</f>
        <v>[TC_Home-3]</v>
      </c>
      <c r="B11" s="103" t="s">
        <v>119</v>
      </c>
      <c r="C11" s="103" t="s">
        <v>116</v>
      </c>
      <c r="D11" s="103" t="s">
        <v>120</v>
      </c>
      <c r="E11" s="103" t="s">
        <v>121</v>
      </c>
      <c r="F11" s="109" t="s">
        <v>6</v>
      </c>
      <c r="G11" s="110">
        <f ca="1">TODAY()</f>
        <v>45955</v>
      </c>
      <c r="H11" s="111" t="str">
        <f>$B$3</f>
        <v>Nguyễn Thị Bích Ngọc</v>
      </c>
      <c r="I11" s="137"/>
      <c r="J11" s="138"/>
      <c r="K11" s="139"/>
      <c r="L11" s="139"/>
      <c r="M11" s="139"/>
      <c r="N11" s="139"/>
      <c r="O11" s="139"/>
      <c r="P11" s="139"/>
      <c r="Q11" s="139"/>
      <c r="R11" s="139"/>
    </row>
    <row r="12" ht="46" customHeight="1" spans="1:10">
      <c r="A12" s="102" t="str">
        <f>IF(AND(E12=""),"","["&amp;TEXT($B$1,"##")&amp;"-"&amp;TEXT(ROW()-9-COUNTBLANK($E$8:E11)+1,"##")&amp;"]")</f>
        <v>[TC_Home-4]</v>
      </c>
      <c r="B12" s="103" t="s">
        <v>122</v>
      </c>
      <c r="C12" s="103" t="s">
        <v>116</v>
      </c>
      <c r="D12" s="103" t="s">
        <v>123</v>
      </c>
      <c r="E12" s="103" t="s">
        <v>124</v>
      </c>
      <c r="F12" s="109" t="s">
        <v>6</v>
      </c>
      <c r="G12" s="110">
        <f ca="1">TODAY()</f>
        <v>45955</v>
      </c>
      <c r="H12" s="111" t="str">
        <f>$B$3</f>
        <v>Nguyễn Thị Bích Ngọc</v>
      </c>
      <c r="I12" s="142"/>
      <c r="J12" s="132"/>
    </row>
    <row r="13" ht="76.5" customHeight="1" spans="1:10">
      <c r="A13" s="102" t="str">
        <f>IF(AND(E13=""),"","["&amp;TEXT($B$1,"##")&amp;"-"&amp;TEXT(ROW()-9-COUNTBLANK($E$8:E12)+1,"##")&amp;"]")</f>
        <v>[TC_Home-5]</v>
      </c>
      <c r="B13" s="103" t="s">
        <v>125</v>
      </c>
      <c r="C13" s="103" t="s">
        <v>116</v>
      </c>
      <c r="D13" s="103" t="s">
        <v>126</v>
      </c>
      <c r="E13" s="103" t="s">
        <v>127</v>
      </c>
      <c r="F13" s="109" t="s">
        <v>6</v>
      </c>
      <c r="G13" s="110">
        <f ca="1" t="shared" ref="G13:G20" si="0">TODAY()</f>
        <v>45955</v>
      </c>
      <c r="H13" s="111" t="str">
        <f>$B$3</f>
        <v>Nguyễn Thị Bích Ngọc</v>
      </c>
      <c r="I13" s="147"/>
      <c r="J13" s="132"/>
    </row>
    <row r="14" s="73" customFormat="1" ht="49.5" spans="1:10">
      <c r="A14" s="102" t="str">
        <f>IF(AND(E14=""),"","["&amp;TEXT($B$1,"##")&amp;"-"&amp;TEXT(ROW()-9-COUNTBLANK($E$8:E13)+1,"##")&amp;"]")</f>
        <v>[TC_Home-6]</v>
      </c>
      <c r="B14" s="103" t="s">
        <v>128</v>
      </c>
      <c r="C14" s="103" t="s">
        <v>116</v>
      </c>
      <c r="D14" s="103" t="s">
        <v>129</v>
      </c>
      <c r="E14" s="103" t="s">
        <v>130</v>
      </c>
      <c r="F14" s="109" t="s">
        <v>6</v>
      </c>
      <c r="G14" s="110">
        <f ca="1" t="shared" si="0"/>
        <v>45955</v>
      </c>
      <c r="H14" s="111" t="str">
        <f>$B$3</f>
        <v>Nguyễn Thị Bích Ngọc</v>
      </c>
      <c r="I14" s="147"/>
      <c r="J14" s="132"/>
    </row>
    <row r="15" s="73" customFormat="1" ht="89.25" customHeight="1" spans="1:10">
      <c r="A15" s="102" t="str">
        <f>IF(AND(E15=""),"","["&amp;TEXT($B$1,"##")&amp;"-"&amp;TEXT(ROW()-9-COUNTBLANK($E$8:E14)+1,"##")&amp;"]")</f>
        <v>[TC_Home-7]</v>
      </c>
      <c r="B15" s="103" t="s">
        <v>131</v>
      </c>
      <c r="C15" s="103" t="s">
        <v>116</v>
      </c>
      <c r="D15" s="103" t="s">
        <v>132</v>
      </c>
      <c r="E15" s="103" t="s">
        <v>133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47"/>
      <c r="J15" s="132"/>
    </row>
    <row r="16" s="73" customFormat="1" ht="49.5" spans="1:10">
      <c r="A16" s="102" t="str">
        <f>IF(AND(E16=""),"","["&amp;TEXT($B$1,"##")&amp;"-"&amp;TEXT(ROW()-9-COUNTBLANK($E$8:E15)+1,"##")&amp;"]")</f>
        <v>[TC_Home-8]</v>
      </c>
      <c r="B16" s="103" t="s">
        <v>134</v>
      </c>
      <c r="C16" s="103" t="s">
        <v>116</v>
      </c>
      <c r="D16" s="103" t="s">
        <v>135</v>
      </c>
      <c r="E16" s="103" t="s">
        <v>136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7"/>
      <c r="J16" s="132"/>
    </row>
    <row r="17" s="73" customFormat="1" ht="89.25" customHeight="1" spans="1:10">
      <c r="A17" s="102" t="str">
        <f>IF(AND(E17=""),"","["&amp;TEXT($B$1,"##")&amp;"-"&amp;TEXT(ROW()-9-COUNTBLANK($E$8:E16)+1,"##")&amp;"]")</f>
        <v>[TC_Home-9]</v>
      </c>
      <c r="B17" s="103" t="s">
        <v>137</v>
      </c>
      <c r="C17" s="103" t="s">
        <v>116</v>
      </c>
      <c r="D17" s="103" t="s">
        <v>138</v>
      </c>
      <c r="E17" s="103" t="s">
        <v>139</v>
      </c>
      <c r="F17" s="109" t="s">
        <v>6</v>
      </c>
      <c r="G17" s="110">
        <f ca="1" t="shared" si="0"/>
        <v>45955</v>
      </c>
      <c r="H17" s="111" t="str">
        <f>$B$3</f>
        <v>Nguyễn Thị Bích Ngọc</v>
      </c>
      <c r="I17" s="147"/>
      <c r="J17" s="132"/>
    </row>
    <row r="18" s="73" customFormat="1" ht="49.5" spans="1:10">
      <c r="A18" s="102" t="str">
        <f>IF(AND(E18=""),"","["&amp;TEXT($B$1,"##")&amp;"-"&amp;TEXT(ROW()-9-COUNTBLANK($E$8:E17)+1,"##")&amp;"]")</f>
        <v>[TC_Home-10]</v>
      </c>
      <c r="B18" s="103" t="s">
        <v>140</v>
      </c>
      <c r="C18" s="103" t="s">
        <v>116</v>
      </c>
      <c r="D18" s="103" t="s">
        <v>141</v>
      </c>
      <c r="E18" s="103" t="s">
        <v>142</v>
      </c>
      <c r="F18" s="109" t="s">
        <v>6</v>
      </c>
      <c r="G18" s="110">
        <f ca="1" t="shared" si="0"/>
        <v>45955</v>
      </c>
      <c r="H18" s="111" t="str">
        <f>$B$3</f>
        <v>Nguyễn Thị Bích Ngọc</v>
      </c>
      <c r="I18" s="147"/>
      <c r="J18" s="132"/>
    </row>
    <row r="19" s="73" customFormat="1" ht="76.5" customHeight="1" spans="1:10">
      <c r="A19" s="105" t="str">
        <f>IF(AND(E19=""),"","["&amp;TEXT($B$1,"##")&amp;"-"&amp;TEXT(ROW()-9-COUNTBLANK($E$8:E18)+1,"##")&amp;"]")</f>
        <v>[TC_Home-11]</v>
      </c>
      <c r="B19" s="103" t="s">
        <v>143</v>
      </c>
      <c r="C19" s="103" t="s">
        <v>113</v>
      </c>
      <c r="D19" s="103" t="s">
        <v>144</v>
      </c>
      <c r="E19" s="103" t="s">
        <v>145</v>
      </c>
      <c r="F19" s="109" t="s">
        <v>6</v>
      </c>
      <c r="G19" s="110">
        <f ca="1" t="shared" si="0"/>
        <v>45955</v>
      </c>
      <c r="H19" s="111" t="str">
        <f>$B$3</f>
        <v>Nguyễn Thị Bích Ngọc</v>
      </c>
      <c r="I19" s="147"/>
      <c r="J19" s="132"/>
    </row>
    <row r="20" s="73" customFormat="1" ht="16.5" spans="1:8">
      <c r="A20" s="150"/>
      <c r="B20" s="151"/>
      <c r="C20" s="151"/>
      <c r="D20" s="152"/>
      <c r="E20" s="119"/>
      <c r="F20" s="118"/>
      <c r="G20" s="121"/>
      <c r="H20" s="118"/>
    </row>
    <row r="21" s="73" customFormat="1" ht="89.25" customHeight="1" spans="1:8">
      <c r="A21" s="150"/>
      <c r="B21" s="151"/>
      <c r="C21" s="151"/>
      <c r="D21" s="152"/>
      <c r="E21" s="119"/>
      <c r="F21" s="118"/>
      <c r="G21" s="121"/>
      <c r="H21" s="118"/>
    </row>
    <row r="22" s="73" customFormat="1" ht="16.5" spans="1:8">
      <c r="A22" s="150"/>
      <c r="B22" s="151"/>
      <c r="C22" s="151"/>
      <c r="D22" s="152"/>
      <c r="E22" s="119"/>
      <c r="F22" s="118"/>
      <c r="G22" s="121"/>
      <c r="H22" s="118"/>
    </row>
    <row r="23" s="73" customFormat="1" ht="76.5" customHeight="1" spans="1:8">
      <c r="A23" s="150"/>
      <c r="B23" s="151"/>
      <c r="C23" s="151"/>
      <c r="D23" s="152"/>
      <c r="E23" s="119"/>
      <c r="F23" s="118"/>
      <c r="G23" s="121"/>
      <c r="H23" s="118"/>
    </row>
    <row r="24" s="73" customFormat="1" spans="1:8">
      <c r="A24" s="118"/>
      <c r="B24" s="119"/>
      <c r="C24" s="119"/>
      <c r="D24" s="120"/>
      <c r="E24" s="119"/>
      <c r="F24" s="118"/>
      <c r="G24" s="121"/>
      <c r="H24" s="118"/>
    </row>
    <row r="25" s="73" customFormat="1" customHeight="1" spans="1:9">
      <c r="A25" s="118"/>
      <c r="B25" s="118"/>
      <c r="C25" s="118"/>
      <c r="D25" s="118"/>
      <c r="E25" s="118"/>
      <c r="F25" s="118"/>
      <c r="G25" s="118"/>
      <c r="H25" s="118"/>
      <c r="I25" s="118"/>
    </row>
    <row r="26" s="73" customFormat="1" spans="1:8">
      <c r="A26" s="118"/>
      <c r="B26" s="119"/>
      <c r="C26" s="119"/>
      <c r="D26" s="120"/>
      <c r="E26" s="119"/>
      <c r="F26" s="118"/>
      <c r="G26" s="121"/>
      <c r="H26" s="118"/>
    </row>
    <row r="27" s="73" customFormat="1" ht="51" customHeight="1" spans="1:8">
      <c r="A27" s="118"/>
      <c r="B27" s="119"/>
      <c r="C27" s="119"/>
      <c r="D27" s="120"/>
      <c r="E27" s="119"/>
      <c r="F27" s="118"/>
      <c r="G27" s="121"/>
      <c r="H27" s="118"/>
    </row>
    <row r="28" s="73" customFormat="1" spans="1:8">
      <c r="A28" s="118"/>
      <c r="B28" s="119"/>
      <c r="C28" s="119"/>
      <c r="D28" s="120"/>
      <c r="E28" s="119"/>
      <c r="F28" s="118"/>
      <c r="G28" s="121"/>
      <c r="H28" s="118"/>
    </row>
    <row r="29" s="73" customFormat="1" customHeight="1" spans="1:9">
      <c r="A29" s="122"/>
      <c r="B29" s="122"/>
      <c r="C29" s="122"/>
      <c r="D29" s="122"/>
      <c r="E29" s="122"/>
      <c r="F29" s="122"/>
      <c r="G29" s="122"/>
      <c r="H29" s="122"/>
      <c r="I29" s="122"/>
    </row>
    <row r="30" s="73" customFormat="1" spans="1:9">
      <c r="A30" s="118"/>
      <c r="B30" s="119"/>
      <c r="C30" s="119"/>
      <c r="D30" s="120"/>
      <c r="E30" s="119"/>
      <c r="F30" s="118"/>
      <c r="G30" s="121"/>
      <c r="H30" s="118"/>
      <c r="I30" s="122"/>
    </row>
    <row r="31" s="73" customFormat="1" ht="76.5" customHeight="1" spans="1:8">
      <c r="A31" s="118"/>
      <c r="B31" s="119"/>
      <c r="C31" s="119"/>
      <c r="D31" s="120"/>
      <c r="E31" s="119"/>
      <c r="F31" s="118"/>
      <c r="G31" s="121"/>
      <c r="H31" s="118"/>
    </row>
    <row r="32" s="73" customFormat="1" spans="1:8">
      <c r="A32" s="118"/>
      <c r="B32" s="119"/>
      <c r="C32" s="119"/>
      <c r="D32" s="120"/>
      <c r="E32" s="123"/>
      <c r="F32" s="118"/>
      <c r="G32" s="121"/>
      <c r="H32" s="118"/>
    </row>
    <row r="33" s="73" customFormat="1" spans="1:8">
      <c r="A33" s="118"/>
      <c r="B33" s="123"/>
      <c r="C33" s="119"/>
      <c r="D33" s="120"/>
      <c r="E33" s="119"/>
      <c r="F33" s="118"/>
      <c r="G33" s="121"/>
      <c r="H33" s="118"/>
    </row>
    <row r="34" s="73" customFormat="1" spans="1:8">
      <c r="A34" s="118"/>
      <c r="B34" s="123"/>
      <c r="C34" s="119"/>
      <c r="D34" s="120"/>
      <c r="E34" s="123"/>
      <c r="F34" s="118"/>
      <c r="G34" s="121"/>
      <c r="H34" s="118"/>
    </row>
    <row r="35" s="73" customFormat="1" spans="1:8">
      <c r="A35" s="118"/>
      <c r="B35" s="123"/>
      <c r="C35" s="119"/>
      <c r="D35" s="120"/>
      <c r="E35" s="123"/>
      <c r="F35" s="118"/>
      <c r="G35" s="121"/>
      <c r="H35" s="118"/>
    </row>
    <row r="36" s="73" customFormat="1" spans="1:8">
      <c r="A36" s="118"/>
      <c r="B36" s="123"/>
      <c r="C36" s="119"/>
      <c r="D36" s="120"/>
      <c r="E36" s="123"/>
      <c r="F36" s="118"/>
      <c r="G36" s="121"/>
      <c r="H36" s="118"/>
    </row>
    <row r="37" s="73" customFormat="1" ht="51" customHeight="1" spans="1:8">
      <c r="A37" s="118"/>
      <c r="B37" s="123"/>
      <c r="C37" s="119"/>
      <c r="D37" s="120"/>
      <c r="E37" s="123"/>
      <c r="F37" s="118"/>
      <c r="G37" s="121"/>
      <c r="H37" s="118"/>
    </row>
    <row r="38" s="73" customFormat="1" spans="1:8">
      <c r="A38" s="118"/>
      <c r="B38" s="123"/>
      <c r="C38" s="119"/>
      <c r="D38" s="120"/>
      <c r="E38" s="123"/>
      <c r="F38" s="118"/>
      <c r="G38" s="121"/>
      <c r="H38" s="118"/>
    </row>
    <row r="39" s="73" customFormat="1" spans="1:8">
      <c r="A39" s="118"/>
      <c r="B39" s="123"/>
      <c r="C39" s="119"/>
      <c r="D39" s="120"/>
      <c r="E39" s="123"/>
      <c r="F39" s="118"/>
      <c r="G39" s="121"/>
      <c r="H39" s="118"/>
    </row>
    <row r="40" s="73" customFormat="1" spans="1:8">
      <c r="A40" s="118"/>
      <c r="B40" s="123"/>
      <c r="C40" s="119"/>
      <c r="D40" s="120"/>
      <c r="E40" s="123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23"/>
      <c r="D42" s="120"/>
      <c r="E42" s="123"/>
      <c r="F42" s="118"/>
      <c r="G42" s="121"/>
      <c r="H42" s="118"/>
    </row>
    <row r="43" s="73" customFormat="1" spans="1:8">
      <c r="A43" s="118"/>
      <c r="C43" s="123"/>
      <c r="D43" s="120"/>
      <c r="E43" s="123"/>
      <c r="F43" s="118"/>
      <c r="G43" s="121"/>
      <c r="H43" s="118"/>
    </row>
    <row r="44" s="73" customFormat="1" spans="1:8">
      <c r="A44" s="118"/>
      <c r="B44" s="123"/>
      <c r="C44" s="123"/>
      <c r="D44" s="120"/>
      <c r="E44" s="123"/>
      <c r="F44" s="118"/>
      <c r="G44" s="121"/>
      <c r="H44" s="118"/>
    </row>
    <row r="45" s="73" customFormat="1" spans="1:9">
      <c r="A45" s="124"/>
      <c r="B45" s="124"/>
      <c r="C45" s="124"/>
      <c r="D45" s="124"/>
      <c r="E45" s="124"/>
      <c r="F45" s="124"/>
      <c r="G45" s="124"/>
      <c r="H45" s="124"/>
      <c r="I45" s="124"/>
    </row>
    <row r="46" s="73" customFormat="1" spans="1:9">
      <c r="A46" s="125"/>
      <c r="B46" s="123"/>
      <c r="C46" s="123"/>
      <c r="D46" s="120"/>
      <c r="E46" s="123"/>
      <c r="F46" s="125"/>
      <c r="G46" s="126"/>
      <c r="H46" s="118"/>
      <c r="I46" s="72"/>
    </row>
    <row r="47" s="73" customFormat="1" ht="99" customHeight="1" spans="1:9">
      <c r="A47" s="125"/>
      <c r="B47" s="123"/>
      <c r="C47" s="123"/>
      <c r="D47" s="120"/>
      <c r="E47" s="123"/>
      <c r="F47" s="125"/>
      <c r="G47" s="126"/>
      <c r="H47" s="118"/>
      <c r="I47" s="72"/>
    </row>
    <row r="48" s="73" customFormat="1" spans="1:9">
      <c r="A48" s="125"/>
      <c r="B48" s="123"/>
      <c r="C48" s="123"/>
      <c r="D48" s="120"/>
      <c r="E48" s="123"/>
      <c r="F48" s="125"/>
      <c r="G48" s="126"/>
      <c r="H48" s="118"/>
      <c r="I48" s="72"/>
    </row>
    <row r="49" s="73" customFormat="1" spans="1:9">
      <c r="A49" s="125"/>
      <c r="B49" s="123"/>
      <c r="C49" s="123"/>
      <c r="D49" s="120"/>
      <c r="E49" s="123"/>
      <c r="F49" s="125"/>
      <c r="G49" s="126"/>
      <c r="H49" s="118"/>
      <c r="I49" s="72"/>
    </row>
    <row r="50" s="73" customFormat="1" spans="1:9">
      <c r="A50" s="125"/>
      <c r="B50" s="123"/>
      <c r="C50" s="123"/>
      <c r="D50" s="120"/>
      <c r="E50" s="123"/>
      <c r="F50" s="125"/>
      <c r="G50" s="126"/>
      <c r="H50" s="118"/>
      <c r="I50" s="72"/>
    </row>
    <row r="51" s="73" customFormat="1" spans="1:9">
      <c r="A51" s="125"/>
      <c r="B51" s="123"/>
      <c r="C51" s="123"/>
      <c r="D51" s="120"/>
      <c r="E51" s="123"/>
      <c r="F51" s="125"/>
      <c r="G51" s="126"/>
      <c r="H51" s="118"/>
      <c r="I51" s="72"/>
    </row>
    <row r="52" s="73" customFormat="1" spans="1:9">
      <c r="A52" s="125"/>
      <c r="B52" s="123"/>
      <c r="C52" s="123"/>
      <c r="D52" s="120"/>
      <c r="E52" s="123"/>
      <c r="F52" s="125"/>
      <c r="G52" s="126"/>
      <c r="H52" s="118"/>
      <c r="I52" s="72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3"/>
      <c r="E57" s="123"/>
      <c r="F57" s="125"/>
      <c r="G57" s="126"/>
      <c r="H57" s="118"/>
      <c r="I57" s="72"/>
    </row>
    <row r="58" s="73" customFormat="1" spans="1:5">
      <c r="A58" s="125"/>
      <c r="B58" s="123"/>
      <c r="C58" s="123"/>
      <c r="D58" s="123"/>
      <c r="E58" s="123"/>
    </row>
    <row r="59" s="73" customFormat="1" spans="1:5">
      <c r="A59" s="125"/>
      <c r="B59" s="123"/>
      <c r="C59" s="123"/>
      <c r="D59" s="123"/>
      <c r="E59" s="123"/>
    </row>
    <row r="60" s="73" customFormat="1" spans="1:5">
      <c r="A60" s="125"/>
      <c r="B60" s="123"/>
      <c r="C60" s="123"/>
      <c r="D60" s="123"/>
      <c r="E60" s="123"/>
    </row>
    <row r="61" s="73" customFormat="1" spans="1:5">
      <c r="A61" s="125"/>
      <c r="B61" s="123"/>
      <c r="C61" s="123"/>
      <c r="D61" s="123"/>
      <c r="E61" s="123"/>
    </row>
    <row r="62" spans="2:5">
      <c r="B62" s="145"/>
      <c r="C62" s="145"/>
      <c r="D62" s="145"/>
      <c r="E62" s="145"/>
    </row>
    <row r="63" spans="2:5">
      <c r="B63" s="145"/>
      <c r="C63" s="145"/>
      <c r="D63" s="145"/>
      <c r="E63" s="145"/>
    </row>
    <row r="64" spans="2:5">
      <c r="B64" s="145"/>
      <c r="C64" s="145"/>
      <c r="D64" s="145"/>
      <c r="E64" s="145"/>
    </row>
    <row r="65" spans="2:5">
      <c r="B65" s="145"/>
      <c r="C65" s="145"/>
      <c r="D65" s="145"/>
      <c r="E65" s="145"/>
    </row>
    <row r="66" spans="2:5">
      <c r="B66" s="145"/>
      <c r="C66" s="145"/>
      <c r="D66" s="145"/>
      <c r="E66" s="145"/>
    </row>
    <row r="67" spans="2:5">
      <c r="B67" s="145"/>
      <c r="C67" s="145"/>
      <c r="D67" s="145"/>
      <c r="E67" s="145"/>
    </row>
    <row r="68" spans="2:5">
      <c r="B68" s="145"/>
      <c r="C68" s="145"/>
      <c r="D68" s="145"/>
      <c r="E68" s="145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</sheetData>
  <mergeCells count="6">
    <mergeCell ref="B1:E1"/>
    <mergeCell ref="B2:E2"/>
    <mergeCell ref="B3:E3"/>
    <mergeCell ref="A25:I25"/>
    <mergeCell ref="A29:I29"/>
    <mergeCell ref="A45:I45"/>
  </mergeCells>
  <conditionalFormatting sqref="F27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0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19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6:F57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0:F24 F31:F44 F28 F26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F9:F44 F46:F57 O10:O11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zoomScale="70" zoomScaleNormal="70" topLeftCell="A22" workbookViewId="0">
      <selection activeCell="A28" sqref="A28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4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146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20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20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54" customHeight="1" spans="1:10">
      <c r="A9" s="102" t="str">
        <f>IF(AND(E9=""),"","["&amp;TEXT($B$1,"##")&amp;"-"&amp;TEXT(ROW()-9-COUNTBLANK($E$8:E8)+1,"##")&amp;"]")</f>
        <v>[TC_GH-1]</v>
      </c>
      <c r="B9" s="148" t="s">
        <v>147</v>
      </c>
      <c r="C9" s="103" t="s">
        <v>148</v>
      </c>
      <c r="D9" s="103" t="s">
        <v>149</v>
      </c>
      <c r="E9" s="103" t="s">
        <v>150</v>
      </c>
      <c r="F9" s="104" t="s">
        <v>6</v>
      </c>
      <c r="G9" s="107">
        <f ca="1" t="shared" ref="G9:G28" si="0">TODAY()</f>
        <v>45955</v>
      </c>
      <c r="H9" s="108" t="str">
        <f>$B$3</f>
        <v>Nguyễn Thị Bích Ngọc</v>
      </c>
      <c r="I9" s="133"/>
      <c r="J9" s="132"/>
    </row>
    <row r="10" ht="76.5" customHeight="1" spans="1:10">
      <c r="A10" s="102" t="str">
        <f>IF(AND(E10=""),"","["&amp;TEXT($B$1,"##")&amp;"-"&amp;TEXT(ROW()-9-COUNTBLANK($E$8:E9)+1,"##")&amp;"]")</f>
        <v>[TC_GH-2]</v>
      </c>
      <c r="B10" s="148" t="s">
        <v>128</v>
      </c>
      <c r="C10" s="103" t="s">
        <v>148</v>
      </c>
      <c r="D10" s="103" t="s">
        <v>151</v>
      </c>
      <c r="E10" s="103" t="s">
        <v>152</v>
      </c>
      <c r="F10" s="104" t="s">
        <v>6</v>
      </c>
      <c r="G10" s="107">
        <f ca="1" t="shared" si="0"/>
        <v>45955</v>
      </c>
      <c r="H10" s="108" t="str">
        <f>$B$3</f>
        <v>Nguyễn Thị Bích Ngọc</v>
      </c>
      <c r="I10" s="134"/>
      <c r="J10" s="132"/>
    </row>
    <row r="11" ht="73" customHeight="1" spans="1:10">
      <c r="A11" s="102" t="str">
        <f>IF(AND(E11=""),"","["&amp;TEXT($B$1,"##")&amp;"-"&amp;TEXT(ROW()-9-COUNTBLANK($E$8:E10)+1,"##")&amp;"]")</f>
        <v>[TC_GH-3]</v>
      </c>
      <c r="B11" s="148" t="s">
        <v>153</v>
      </c>
      <c r="C11" s="103" t="s">
        <v>154</v>
      </c>
      <c r="D11" s="103" t="s">
        <v>155</v>
      </c>
      <c r="E11" s="103" t="s">
        <v>156</v>
      </c>
      <c r="F11" s="109" t="s">
        <v>6</v>
      </c>
      <c r="G11" s="107">
        <f ca="1" t="shared" si="0"/>
        <v>45955</v>
      </c>
      <c r="H11" s="108" t="str">
        <f>$B$3</f>
        <v>Nguyễn Thị Bích Ngọc</v>
      </c>
      <c r="I11" s="135"/>
      <c r="J11" s="136"/>
    </row>
    <row r="12" s="72" customFormat="1" ht="53" customHeight="1" spans="1:18">
      <c r="A12" s="102" t="str">
        <f>IF(AND(E12=""),"","["&amp;TEXT($B$1,"##")&amp;"-"&amp;TEXT(ROW()-9-COUNTBLANK($E$8:E11)+1,"##")&amp;"]")</f>
        <v>[TC_GH-4]</v>
      </c>
      <c r="B12" s="148" t="s">
        <v>157</v>
      </c>
      <c r="C12" s="103" t="s">
        <v>158</v>
      </c>
      <c r="D12" s="103" t="s">
        <v>159</v>
      </c>
      <c r="E12" s="103" t="s">
        <v>160</v>
      </c>
      <c r="F12" s="109" t="s">
        <v>6</v>
      </c>
      <c r="G12" s="110">
        <f ca="1" t="shared" si="0"/>
        <v>45955</v>
      </c>
      <c r="H12" s="111" t="str">
        <f>$B$3</f>
        <v>Nguyễn Thị Bích Ngọc</v>
      </c>
      <c r="I12" s="137"/>
      <c r="J12" s="138"/>
      <c r="K12" s="139"/>
      <c r="L12" s="139"/>
      <c r="M12" s="139"/>
      <c r="N12" s="139"/>
      <c r="O12" s="139"/>
      <c r="P12" s="139"/>
      <c r="Q12" s="139"/>
      <c r="R12" s="139"/>
    </row>
    <row r="13" ht="66" customHeight="1" spans="1:10">
      <c r="A13" s="102" t="str">
        <f>IF(AND(E13=""),"","["&amp;TEXT($B$1,"##")&amp;"-"&amp;TEXT(ROW()-9-COUNTBLANK($E$8:E12)+1,"##")&amp;"]")</f>
        <v>[TC_GH-5]</v>
      </c>
      <c r="B13" s="148" t="s">
        <v>161</v>
      </c>
      <c r="C13" s="103" t="s">
        <v>162</v>
      </c>
      <c r="D13" s="103" t="s">
        <v>163</v>
      </c>
      <c r="E13" s="103" t="s">
        <v>164</v>
      </c>
      <c r="F13" s="109" t="s">
        <v>6</v>
      </c>
      <c r="G13" s="110">
        <f ca="1" t="shared" si="0"/>
        <v>45955</v>
      </c>
      <c r="H13" s="111" t="str">
        <f>$B$3</f>
        <v>Nguyễn Thị Bích Ngọc</v>
      </c>
      <c r="I13" s="140"/>
      <c r="J13" s="141"/>
    </row>
    <row r="14" ht="46" customHeight="1" spans="1:10">
      <c r="A14" s="102" t="str">
        <f>IF(AND(E14=""),"","["&amp;TEXT($B$1,"##")&amp;"-"&amp;TEXT(ROW()-9-COUNTBLANK($E$8:E13)+1,"##")&amp;"]")</f>
        <v>[TC_GH-6]</v>
      </c>
      <c r="B14" s="148" t="s">
        <v>165</v>
      </c>
      <c r="C14" s="103" t="s">
        <v>166</v>
      </c>
      <c r="D14" s="103" t="s">
        <v>167</v>
      </c>
      <c r="E14" s="103" t="s">
        <v>168</v>
      </c>
      <c r="F14" s="109" t="s">
        <v>6</v>
      </c>
      <c r="G14" s="110">
        <f ca="1" t="shared" si="0"/>
        <v>45955</v>
      </c>
      <c r="H14" s="111" t="str">
        <f>$B$3</f>
        <v>Nguyễn Thị Bích Ngọc</v>
      </c>
      <c r="I14" s="142"/>
      <c r="J14" s="132"/>
    </row>
    <row r="15" ht="51" customHeight="1" spans="1:10">
      <c r="A15" s="102" t="str">
        <f>IF(AND(E15=""),"","["&amp;TEXT($B$1,"##")&amp;"-"&amp;TEXT(ROW()-9-COUNTBLANK($E$8:E14)+1,"##")&amp;"]")</f>
        <v>[TC_GH-7]</v>
      </c>
      <c r="B15" s="148" t="s">
        <v>169</v>
      </c>
      <c r="C15" s="103" t="s">
        <v>170</v>
      </c>
      <c r="D15" s="103" t="s">
        <v>171</v>
      </c>
      <c r="E15" s="103" t="s">
        <v>172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43"/>
      <c r="J15" s="144"/>
    </row>
    <row r="16" ht="76.5" customHeight="1" spans="1:10">
      <c r="A16" s="102" t="str">
        <f>IF(AND(E16=""),"","["&amp;TEXT($B$1,"##")&amp;"-"&amp;TEXT(ROW()-9-COUNTBLANK($E$8:E15)+1,"##")&amp;"]")</f>
        <v>[TC_GH-8]</v>
      </c>
      <c r="B16" s="148" t="s">
        <v>173</v>
      </c>
      <c r="C16" s="103" t="s">
        <v>148</v>
      </c>
      <c r="D16" s="103" t="s">
        <v>174</v>
      </c>
      <c r="E16" s="103" t="s">
        <v>175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7"/>
      <c r="J16" s="132"/>
    </row>
    <row r="17" s="73" customFormat="1" ht="33" spans="1:10">
      <c r="A17" s="102" t="str">
        <f>IF(AND(E17=""),"","["&amp;TEXT($B$1,"##")&amp;"-"&amp;TEXT(ROW()-9-COUNTBLANK($E$8:E16)+1,"##")&amp;"]")</f>
        <v>[TC_GH-9]</v>
      </c>
      <c r="B17" s="148" t="s">
        <v>176</v>
      </c>
      <c r="C17" s="103" t="s">
        <v>148</v>
      </c>
      <c r="D17" s="103" t="s">
        <v>177</v>
      </c>
      <c r="E17" s="103" t="s">
        <v>178</v>
      </c>
      <c r="F17" s="109" t="s">
        <v>6</v>
      </c>
      <c r="G17" s="110">
        <f ca="1" t="shared" si="0"/>
        <v>45955</v>
      </c>
      <c r="H17" s="111" t="str">
        <f>$B$3</f>
        <v>Nguyễn Thị Bích Ngọc</v>
      </c>
      <c r="I17" s="147"/>
      <c r="J17" s="132"/>
    </row>
    <row r="18" s="73" customFormat="1" ht="89.25" customHeight="1" spans="1:10">
      <c r="A18" s="102" t="str">
        <f>IF(AND(E18=""),"","["&amp;TEXT($B$1,"##")&amp;"-"&amp;TEXT(ROW()-9-COUNTBLANK($E$8:E17)+1,"##")&amp;"]")</f>
        <v>[TC_GH-10]</v>
      </c>
      <c r="B18" s="148" t="s">
        <v>179</v>
      </c>
      <c r="C18" s="103" t="s">
        <v>180</v>
      </c>
      <c r="D18" s="103" t="s">
        <v>181</v>
      </c>
      <c r="E18" s="103" t="s">
        <v>182</v>
      </c>
      <c r="F18" s="109" t="s">
        <v>6</v>
      </c>
      <c r="G18" s="110">
        <f ca="1" t="shared" si="0"/>
        <v>45955</v>
      </c>
      <c r="H18" s="111" t="str">
        <f>$B$3</f>
        <v>Nguyễn Thị Bích Ngọc</v>
      </c>
      <c r="I18" s="147"/>
      <c r="J18" s="132"/>
    </row>
    <row r="19" s="73" customFormat="1" ht="33" spans="1:10">
      <c r="A19" s="102" t="str">
        <f>IF(AND(E19=""),"","["&amp;TEXT($B$1,"##")&amp;"-"&amp;TEXT(ROW()-9-COUNTBLANK($E$8:E18)+1,"##")&amp;"]")</f>
        <v>[TC_GH-11]</v>
      </c>
      <c r="B19" s="148" t="s">
        <v>183</v>
      </c>
      <c r="C19" s="103" t="s">
        <v>184</v>
      </c>
      <c r="D19" s="103" t="s">
        <v>185</v>
      </c>
      <c r="E19" s="103" t="s">
        <v>186</v>
      </c>
      <c r="F19" s="109" t="s">
        <v>6</v>
      </c>
      <c r="G19" s="110">
        <f ca="1" t="shared" si="0"/>
        <v>45955</v>
      </c>
      <c r="H19" s="111" t="str">
        <f>$B$3</f>
        <v>Nguyễn Thị Bích Ngọc</v>
      </c>
      <c r="I19" s="147"/>
      <c r="J19" s="132"/>
    </row>
    <row r="20" s="73" customFormat="1" ht="89.25" customHeight="1" spans="1:10">
      <c r="A20" s="102" t="str">
        <f>IF(AND(E20=""),"","["&amp;TEXT($B$1,"##")&amp;"-"&amp;TEXT(ROW()-9-COUNTBLANK($E$8:E19)+1,"##")&amp;"]")</f>
        <v>[TC_GH-12]</v>
      </c>
      <c r="B20" s="148" t="s">
        <v>187</v>
      </c>
      <c r="C20" s="103" t="s">
        <v>184</v>
      </c>
      <c r="D20" s="103" t="s">
        <v>188</v>
      </c>
      <c r="E20" s="103" t="s">
        <v>189</v>
      </c>
      <c r="F20" s="109" t="s">
        <v>6</v>
      </c>
      <c r="G20" s="110">
        <f ca="1" t="shared" si="0"/>
        <v>45955</v>
      </c>
      <c r="H20" s="111" t="str">
        <f>$B$3</f>
        <v>Nguyễn Thị Bích Ngọc</v>
      </c>
      <c r="I20" s="147"/>
      <c r="J20" s="132"/>
    </row>
    <row r="21" s="73" customFormat="1" ht="49.5" spans="1:10">
      <c r="A21" s="102" t="str">
        <f>IF(AND(E21=""),"","["&amp;TEXT($B$1,"##")&amp;"-"&amp;TEXT(ROW()-9-COUNTBLANK($E$8:E20)+1,"##")&amp;"]")</f>
        <v>[TC_GH-13]</v>
      </c>
      <c r="B21" s="148" t="s">
        <v>190</v>
      </c>
      <c r="C21" s="103" t="s">
        <v>162</v>
      </c>
      <c r="D21" s="103" t="s">
        <v>191</v>
      </c>
      <c r="E21" s="103" t="s">
        <v>192</v>
      </c>
      <c r="F21" s="109" t="s">
        <v>6</v>
      </c>
      <c r="G21" s="110">
        <f ca="1" t="shared" si="0"/>
        <v>45955</v>
      </c>
      <c r="H21" s="111" t="str">
        <f>$B$3</f>
        <v>Nguyễn Thị Bích Ngọc</v>
      </c>
      <c r="I21" s="147"/>
      <c r="J21" s="132"/>
    </row>
    <row r="22" s="73" customFormat="1" ht="76.5" customHeight="1" spans="1:10">
      <c r="A22" s="102" t="str">
        <f>IF(AND(E22=""),"","["&amp;TEXT($B$1,"##")&amp;"-"&amp;TEXT(ROW()-9-COUNTBLANK($E$8:E21)+1,"##")&amp;"]")</f>
        <v>[TC_GH-14]</v>
      </c>
      <c r="B22" s="148" t="s">
        <v>193</v>
      </c>
      <c r="C22" s="103" t="s">
        <v>194</v>
      </c>
      <c r="D22" s="103" t="s">
        <v>195</v>
      </c>
      <c r="E22" s="103" t="s">
        <v>196</v>
      </c>
      <c r="F22" s="109" t="s">
        <v>6</v>
      </c>
      <c r="G22" s="110">
        <f ca="1" t="shared" si="0"/>
        <v>45955</v>
      </c>
      <c r="H22" s="111" t="str">
        <f>$B$3</f>
        <v>Nguyễn Thị Bích Ngọc</v>
      </c>
      <c r="I22" s="147"/>
      <c r="J22" s="132"/>
    </row>
    <row r="23" s="73" customFormat="1" ht="64" customHeight="1" spans="1:10">
      <c r="A23" s="102" t="str">
        <f>IF(AND(E23=""),"","["&amp;TEXT($B$1,"##")&amp;"-"&amp;TEXT(ROW()-9-COUNTBLANK($E$8:E22)+1,"##")&amp;"]")</f>
        <v>[TC_GH-15]</v>
      </c>
      <c r="B23" s="148" t="s">
        <v>197</v>
      </c>
      <c r="C23" s="103" t="s">
        <v>198</v>
      </c>
      <c r="D23" s="103" t="s">
        <v>199</v>
      </c>
      <c r="E23" s="103" t="s">
        <v>200</v>
      </c>
      <c r="F23" s="109" t="s">
        <v>6</v>
      </c>
      <c r="G23" s="110">
        <f ca="1" t="shared" si="0"/>
        <v>45955</v>
      </c>
      <c r="H23" s="111" t="str">
        <f>$B$3</f>
        <v>Nguyễn Thị Bích Ngọc</v>
      </c>
      <c r="I23" s="147"/>
      <c r="J23" s="132"/>
    </row>
    <row r="24" s="73" customFormat="1" ht="63" customHeight="1" spans="1:10">
      <c r="A24" s="102" t="str">
        <f>IF(AND(E24=""),"","["&amp;TEXT($B$1,"##")&amp;"-"&amp;TEXT(ROW()-9-COUNTBLANK($E$8:E23)+1,"##")&amp;"]")</f>
        <v>[TC_GH-16]</v>
      </c>
      <c r="B24" s="114" t="s">
        <v>201</v>
      </c>
      <c r="C24" s="115" t="s">
        <v>198</v>
      </c>
      <c r="D24" s="116" t="s">
        <v>202</v>
      </c>
      <c r="E24" s="115" t="s">
        <v>203</v>
      </c>
      <c r="F24" s="109" t="s">
        <v>6</v>
      </c>
      <c r="G24" s="110">
        <f ca="1" t="shared" si="0"/>
        <v>45955</v>
      </c>
      <c r="H24" s="111" t="str">
        <f>$B$3</f>
        <v>Nguyễn Thị Bích Ngọc</v>
      </c>
      <c r="I24" s="147"/>
      <c r="J24" s="132"/>
    </row>
    <row r="25" s="73" customFormat="1" ht="72" customHeight="1" spans="1:10">
      <c r="A25" s="102" t="str">
        <f>IF(AND(E25=""),"","["&amp;TEXT($B$1,"##")&amp;"-"&amp;TEXT(ROW()-9-COUNTBLANK($E$8:E24)+1,"##")&amp;"]")</f>
        <v>[TC_GH-17]</v>
      </c>
      <c r="B25" s="114" t="s">
        <v>204</v>
      </c>
      <c r="C25" s="115" t="s">
        <v>198</v>
      </c>
      <c r="D25" s="116" t="s">
        <v>205</v>
      </c>
      <c r="E25" s="115" t="s">
        <v>206</v>
      </c>
      <c r="F25" s="109" t="s">
        <v>6</v>
      </c>
      <c r="G25" s="110">
        <f ca="1" t="shared" si="0"/>
        <v>45955</v>
      </c>
      <c r="H25" s="111" t="str">
        <f>$B$3</f>
        <v>Nguyễn Thị Bích Ngọc</v>
      </c>
      <c r="I25" s="147"/>
      <c r="J25" s="132"/>
    </row>
    <row r="26" s="73" customFormat="1" ht="51" customHeight="1" spans="1:10">
      <c r="A26" s="102" t="str">
        <f>IF(AND(E26=""),"","["&amp;TEXT($B$1,"##")&amp;"-"&amp;TEXT(ROW()-9-COUNTBLANK($E$8:E25)+1,"##")&amp;"]")</f>
        <v>[TC_GH-18]</v>
      </c>
      <c r="B26" s="114" t="s">
        <v>207</v>
      </c>
      <c r="C26" s="115" t="s">
        <v>208</v>
      </c>
      <c r="D26" s="116" t="s">
        <v>209</v>
      </c>
      <c r="E26" s="115" t="s">
        <v>210</v>
      </c>
      <c r="F26" s="109" t="s">
        <v>6</v>
      </c>
      <c r="G26" s="110">
        <f ca="1" t="shared" si="0"/>
        <v>45955</v>
      </c>
      <c r="H26" s="111" t="str">
        <f>$B$3</f>
        <v>Nguyễn Thị Bích Ngọc</v>
      </c>
      <c r="I26" s="147"/>
      <c r="J26" s="132"/>
    </row>
    <row r="27" s="73" customFormat="1" ht="76.5" customHeight="1" spans="1:10">
      <c r="A27" s="102" t="str">
        <f>IF(AND(E27=""),"","["&amp;TEXT($B$1,"##")&amp;"-"&amp;TEXT(ROW()-9-COUNTBLANK($E$8:E26)+1,"##")&amp;"]")</f>
        <v>[TC_GH-19]</v>
      </c>
      <c r="B27" s="114" t="s">
        <v>211</v>
      </c>
      <c r="C27" s="115" t="s">
        <v>212</v>
      </c>
      <c r="D27" s="116" t="s">
        <v>213</v>
      </c>
      <c r="E27" s="115" t="s">
        <v>214</v>
      </c>
      <c r="F27" s="109" t="s">
        <v>6</v>
      </c>
      <c r="G27" s="110">
        <f ca="1" t="shared" si="0"/>
        <v>45955</v>
      </c>
      <c r="H27" s="111" t="str">
        <f>$B$3</f>
        <v>Nguyễn Thị Bích Ngọc</v>
      </c>
      <c r="I27" s="147"/>
      <c r="J27" s="132"/>
    </row>
    <row r="28" s="73" customFormat="1" ht="33" spans="1:10">
      <c r="A28" s="117" t="str">
        <f>IF(AND(E28=""),"","["&amp;TEXT($B$1,"##")&amp;"-"&amp;TEXT(ROW()-9-COUNTBLANK($E$8:E27)+1,"##")&amp;"]")</f>
        <v>[TC_GH-20]</v>
      </c>
      <c r="B28" s="114" t="s">
        <v>215</v>
      </c>
      <c r="C28" s="115" t="s">
        <v>198</v>
      </c>
      <c r="D28" s="116" t="s">
        <v>216</v>
      </c>
      <c r="E28" s="115" t="s">
        <v>217</v>
      </c>
      <c r="F28" s="109" t="s">
        <v>6</v>
      </c>
      <c r="G28" s="110">
        <f ca="1" t="shared" si="0"/>
        <v>45955</v>
      </c>
      <c r="H28" s="111" t="str">
        <f>$B$3</f>
        <v>Nguyễn Thị Bích Ngọc</v>
      </c>
      <c r="I28" s="147"/>
      <c r="J28" s="132"/>
    </row>
    <row r="29" s="73" customFormat="1" customHeight="1" spans="1:9">
      <c r="A29" s="118"/>
      <c r="B29" s="118"/>
      <c r="C29" s="118"/>
      <c r="D29" s="118"/>
      <c r="E29" s="118"/>
      <c r="F29" s="118"/>
      <c r="G29" s="118"/>
      <c r="H29" s="118"/>
      <c r="I29" s="118"/>
    </row>
    <row r="30" s="73" customFormat="1" spans="1:8">
      <c r="A30" s="118"/>
      <c r="B30" s="119"/>
      <c r="C30" s="119"/>
      <c r="D30" s="120"/>
      <c r="E30" s="119"/>
      <c r="F30" s="118"/>
      <c r="G30" s="121"/>
      <c r="H30" s="118"/>
    </row>
    <row r="31" s="73" customFormat="1" ht="51" customHeight="1" spans="1:8">
      <c r="A31" s="118"/>
      <c r="B31" s="119"/>
      <c r="C31" s="119"/>
      <c r="D31" s="120"/>
      <c r="E31" s="119"/>
      <c r="F31" s="118"/>
      <c r="G31" s="121"/>
      <c r="H31" s="118"/>
    </row>
    <row r="32" s="73" customFormat="1" spans="1:8">
      <c r="A32" s="118"/>
      <c r="B32" s="119"/>
      <c r="C32" s="119"/>
      <c r="D32" s="120"/>
      <c r="E32" s="119"/>
      <c r="F32" s="118"/>
      <c r="G32" s="121"/>
      <c r="H32" s="118"/>
    </row>
    <row r="33" s="73" customFormat="1" customHeight="1" spans="1:9">
      <c r="A33" s="122"/>
      <c r="B33" s="122"/>
      <c r="C33" s="122"/>
      <c r="D33" s="122"/>
      <c r="E33" s="122"/>
      <c r="F33" s="122"/>
      <c r="G33" s="122"/>
      <c r="H33" s="122"/>
      <c r="I33" s="122"/>
    </row>
    <row r="34" s="73" customFormat="1" spans="1:9">
      <c r="A34" s="118"/>
      <c r="B34" s="119"/>
      <c r="C34" s="119"/>
      <c r="D34" s="120"/>
      <c r="E34" s="119"/>
      <c r="F34" s="118"/>
      <c r="G34" s="121"/>
      <c r="H34" s="118"/>
      <c r="I34" s="122"/>
    </row>
    <row r="35" s="73" customFormat="1" ht="76.5" customHeight="1" spans="1:8">
      <c r="A35" s="118"/>
      <c r="B35" s="119"/>
      <c r="C35" s="119"/>
      <c r="D35" s="120"/>
      <c r="E35" s="119"/>
      <c r="F35" s="118"/>
      <c r="G35" s="121"/>
      <c r="H35" s="118"/>
    </row>
    <row r="36" s="73" customFormat="1" spans="1:8">
      <c r="A36" s="118"/>
      <c r="B36" s="119"/>
      <c r="C36" s="119"/>
      <c r="D36" s="120"/>
      <c r="E36" s="123"/>
      <c r="F36" s="118"/>
      <c r="G36" s="121"/>
      <c r="H36" s="118"/>
    </row>
    <row r="37" s="73" customFormat="1" spans="1:8">
      <c r="A37" s="118"/>
      <c r="B37" s="123"/>
      <c r="C37" s="119"/>
      <c r="D37" s="120"/>
      <c r="E37" s="119"/>
      <c r="F37" s="118"/>
      <c r="G37" s="121"/>
      <c r="H37" s="118"/>
    </row>
    <row r="38" s="73" customFormat="1" spans="1:8">
      <c r="A38" s="118"/>
      <c r="B38" s="123"/>
      <c r="C38" s="119"/>
      <c r="D38" s="120"/>
      <c r="E38" s="123"/>
      <c r="F38" s="118"/>
      <c r="G38" s="121"/>
      <c r="H38" s="118"/>
    </row>
    <row r="39" s="73" customFormat="1" spans="1:8">
      <c r="A39" s="118"/>
      <c r="B39" s="123"/>
      <c r="C39" s="119"/>
      <c r="D39" s="120"/>
      <c r="E39" s="123"/>
      <c r="F39" s="118"/>
      <c r="G39" s="121"/>
      <c r="H39" s="118"/>
    </row>
    <row r="40" s="73" customFormat="1" spans="1:8">
      <c r="A40" s="118"/>
      <c r="B40" s="123"/>
      <c r="C40" s="119"/>
      <c r="D40" s="120"/>
      <c r="E40" s="123"/>
      <c r="F40" s="118"/>
      <c r="G40" s="121"/>
      <c r="H40" s="118"/>
    </row>
    <row r="41" s="73" customFormat="1" ht="51" customHeigh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spans="1:8">
      <c r="A43" s="118"/>
      <c r="B43" s="123"/>
      <c r="C43" s="119"/>
      <c r="D43" s="120"/>
      <c r="E43" s="123"/>
      <c r="F43" s="118"/>
      <c r="G43" s="121"/>
      <c r="H43" s="118"/>
    </row>
    <row r="44" s="73" customFormat="1" spans="1:8">
      <c r="A44" s="118"/>
      <c r="B44" s="123"/>
      <c r="C44" s="119"/>
      <c r="D44" s="120"/>
      <c r="E44" s="123"/>
      <c r="F44" s="118"/>
      <c r="G44" s="121"/>
      <c r="H44" s="118"/>
    </row>
    <row r="45" s="73" customFormat="1" spans="1:8">
      <c r="A45" s="118"/>
      <c r="B45" s="123"/>
      <c r="C45" s="119"/>
      <c r="D45" s="120"/>
      <c r="E45" s="123"/>
      <c r="F45" s="118"/>
      <c r="G45" s="121"/>
      <c r="H45" s="118"/>
    </row>
    <row r="46" s="73" customFormat="1" spans="1:8">
      <c r="A46" s="118"/>
      <c r="B46" s="123"/>
      <c r="C46" s="123"/>
      <c r="D46" s="120"/>
      <c r="E46" s="123"/>
      <c r="F46" s="118"/>
      <c r="G46" s="121"/>
      <c r="H46" s="118"/>
    </row>
    <row r="47" s="73" customFormat="1" spans="1:8">
      <c r="A47" s="118"/>
      <c r="C47" s="123"/>
      <c r="D47" s="120"/>
      <c r="E47" s="123"/>
      <c r="F47" s="118"/>
      <c r="G47" s="121"/>
      <c r="H47" s="118"/>
    </row>
    <row r="48" s="73" customFormat="1" spans="1:8">
      <c r="A48" s="118"/>
      <c r="B48" s="123"/>
      <c r="C48" s="123"/>
      <c r="D48" s="120"/>
      <c r="E48" s="123"/>
      <c r="F48" s="118"/>
      <c r="G48" s="121"/>
      <c r="H48" s="118"/>
    </row>
    <row r="49" s="73" customFormat="1" spans="1:9">
      <c r="A49" s="124"/>
      <c r="B49" s="124"/>
      <c r="C49" s="124"/>
      <c r="D49" s="124"/>
      <c r="E49" s="124"/>
      <c r="F49" s="124"/>
      <c r="G49" s="124"/>
      <c r="H49" s="124"/>
      <c r="I49" s="124"/>
    </row>
    <row r="50" s="73" customFormat="1" spans="1:9">
      <c r="A50" s="125"/>
      <c r="B50" s="123"/>
      <c r="C50" s="123"/>
      <c r="D50" s="120"/>
      <c r="E50" s="123"/>
      <c r="F50" s="125"/>
      <c r="G50" s="126"/>
      <c r="H50" s="118"/>
      <c r="I50" s="72"/>
    </row>
    <row r="51" s="73" customFormat="1" ht="99" customHeight="1" spans="1:9">
      <c r="A51" s="125"/>
      <c r="B51" s="123"/>
      <c r="C51" s="123"/>
      <c r="D51" s="120"/>
      <c r="E51" s="123"/>
      <c r="F51" s="125"/>
      <c r="G51" s="126"/>
      <c r="H51" s="118"/>
      <c r="I51" s="72"/>
    </row>
    <row r="52" s="73" customFormat="1" spans="1:9">
      <c r="A52" s="125"/>
      <c r="B52" s="123"/>
      <c r="C52" s="123"/>
      <c r="D52" s="120"/>
      <c r="E52" s="123"/>
      <c r="F52" s="125"/>
      <c r="G52" s="126"/>
      <c r="H52" s="118"/>
      <c r="I52" s="72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0"/>
      <c r="E58" s="123"/>
      <c r="F58" s="125"/>
      <c r="G58" s="126"/>
      <c r="H58" s="118"/>
      <c r="I58" s="72"/>
    </row>
    <row r="59" s="73" customFormat="1" spans="1:9">
      <c r="A59" s="125"/>
      <c r="B59" s="123"/>
      <c r="C59" s="123"/>
      <c r="D59" s="120"/>
      <c r="E59" s="123"/>
      <c r="F59" s="125"/>
      <c r="G59" s="126"/>
      <c r="H59" s="118"/>
      <c r="I59" s="72"/>
    </row>
    <row r="60" s="73" customFormat="1" spans="1:9">
      <c r="A60" s="125"/>
      <c r="B60" s="123"/>
      <c r="C60" s="123"/>
      <c r="D60" s="120"/>
      <c r="E60" s="123"/>
      <c r="F60" s="125"/>
      <c r="G60" s="126"/>
      <c r="H60" s="118"/>
      <c r="I60" s="72"/>
    </row>
    <row r="61" s="73" customFormat="1" spans="1:9">
      <c r="A61" s="125"/>
      <c r="B61" s="123"/>
      <c r="C61" s="123"/>
      <c r="D61" s="123"/>
      <c r="E61" s="123"/>
      <c r="F61" s="125"/>
      <c r="G61" s="126"/>
      <c r="H61" s="118"/>
      <c r="I61" s="72"/>
    </row>
    <row r="62" s="73" customFormat="1" spans="1:5">
      <c r="A62" s="125"/>
      <c r="B62" s="123"/>
      <c r="C62" s="123"/>
      <c r="D62" s="123"/>
      <c r="E62" s="123"/>
    </row>
    <row r="63" s="73" customFormat="1" spans="1:5">
      <c r="A63" s="125"/>
      <c r="B63" s="123"/>
      <c r="C63" s="123"/>
      <c r="D63" s="123"/>
      <c r="E63" s="123"/>
    </row>
    <row r="64" s="73" customFormat="1" spans="1:5">
      <c r="A64" s="125"/>
      <c r="B64" s="123"/>
      <c r="C64" s="123"/>
      <c r="D64" s="123"/>
      <c r="E64" s="123"/>
    </row>
    <row r="65" s="73" customFormat="1" spans="1:5">
      <c r="A65" s="125"/>
      <c r="B65" s="123"/>
      <c r="C65" s="123"/>
      <c r="D65" s="123"/>
      <c r="E65" s="123"/>
    </row>
    <row r="66" spans="2:5">
      <c r="B66" s="145"/>
      <c r="C66" s="145"/>
      <c r="D66" s="145"/>
      <c r="E66" s="145"/>
    </row>
    <row r="67" spans="2:5">
      <c r="B67" s="145"/>
      <c r="C67" s="145"/>
      <c r="D67" s="145"/>
      <c r="E67" s="145"/>
    </row>
    <row r="68" spans="2:5">
      <c r="B68" s="145"/>
      <c r="C68" s="145"/>
      <c r="D68" s="145"/>
      <c r="E68" s="145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  <row r="73" spans="2:5">
      <c r="B73" s="145"/>
      <c r="C73" s="145"/>
      <c r="D73" s="145"/>
      <c r="E73" s="145"/>
    </row>
    <row r="74" spans="2:5">
      <c r="B74" s="145"/>
      <c r="C74" s="145"/>
      <c r="D74" s="145"/>
      <c r="E74" s="145"/>
    </row>
    <row r="75" spans="2:5">
      <c r="B75" s="145"/>
      <c r="C75" s="145"/>
      <c r="D75" s="145"/>
      <c r="E75" s="145"/>
    </row>
  </sheetData>
  <mergeCells count="6">
    <mergeCell ref="B1:E1"/>
    <mergeCell ref="B2:E2"/>
    <mergeCell ref="B3:E3"/>
    <mergeCell ref="A29:I29"/>
    <mergeCell ref="A33:I33"/>
    <mergeCell ref="A49:I49"/>
  </mergeCells>
  <conditionalFormatting sqref="F31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4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8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0:F61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35:F48 F32 F30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2 F9:F48 F50:F61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zoomScale="70" zoomScaleNormal="70" topLeftCell="A2" workbookViewId="0">
      <selection activeCell="A9" sqref="$A9:$XFD9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4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218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14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14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51" customHeight="1" spans="1:10">
      <c r="A9" s="102" t="str">
        <f>IF(AND(E9=""),"","["&amp;TEXT($B$1,"##")&amp;"-"&amp;TEXT(ROW()-9-COUNTBLANK($E$8:E8)+1,"##")&amp;"]")</f>
        <v>[TC_SP-1]</v>
      </c>
      <c r="B9" s="146" t="s">
        <v>219</v>
      </c>
      <c r="C9" s="146" t="s">
        <v>220</v>
      </c>
      <c r="D9" s="146" t="s">
        <v>221</v>
      </c>
      <c r="E9" s="146" t="s">
        <v>222</v>
      </c>
      <c r="F9" s="104" t="s">
        <v>6</v>
      </c>
      <c r="G9" s="107">
        <f ca="1" t="shared" ref="G9:G22" si="0">TODAY()</f>
        <v>45955</v>
      </c>
      <c r="H9" s="108" t="str">
        <f>$B$3</f>
        <v>Nguyễn Thị Bích Ngọc</v>
      </c>
      <c r="I9" s="131"/>
      <c r="J9" s="132"/>
    </row>
    <row r="10" ht="54" customHeight="1" spans="1:10">
      <c r="A10" s="102" t="str">
        <f>IF(AND(E10=""),"","["&amp;TEXT($B$1,"##")&amp;"-"&amp;TEXT(ROW()-9-COUNTBLANK($E$8:E9)+1,"##")&amp;"]")</f>
        <v>[TC_SP-2]</v>
      </c>
      <c r="B10" s="146" t="s">
        <v>223</v>
      </c>
      <c r="C10" s="146" t="s">
        <v>220</v>
      </c>
      <c r="D10" s="146" t="s">
        <v>224</v>
      </c>
      <c r="E10" s="146" t="s">
        <v>225</v>
      </c>
      <c r="F10" s="104" t="s">
        <v>6</v>
      </c>
      <c r="G10" s="107">
        <f ca="1" t="shared" si="0"/>
        <v>45955</v>
      </c>
      <c r="H10" s="108" t="str">
        <f>$B$3</f>
        <v>Nguyễn Thị Bích Ngọc</v>
      </c>
      <c r="I10" s="133"/>
      <c r="J10" s="132"/>
    </row>
    <row r="11" ht="76.5" customHeight="1" spans="1:10">
      <c r="A11" s="102" t="str">
        <f>IF(AND(E11=""),"","["&amp;TEXT($B$1,"##")&amp;"-"&amp;TEXT(ROW()-9-COUNTBLANK($E$8:E10)+1,"##")&amp;"]")</f>
        <v>[TC_SP-3]</v>
      </c>
      <c r="B11" s="146" t="s">
        <v>226</v>
      </c>
      <c r="C11" s="146" t="s">
        <v>220</v>
      </c>
      <c r="D11" s="146" t="s">
        <v>227</v>
      </c>
      <c r="E11" s="146" t="s">
        <v>228</v>
      </c>
      <c r="F11" s="104" t="s">
        <v>6</v>
      </c>
      <c r="G11" s="107">
        <f ca="1" t="shared" si="0"/>
        <v>45955</v>
      </c>
      <c r="H11" s="108" t="str">
        <f>$B$3</f>
        <v>Nguyễn Thị Bích Ngọc</v>
      </c>
      <c r="I11" s="134"/>
      <c r="J11" s="132"/>
    </row>
    <row r="12" ht="73" customHeight="1" spans="1:10">
      <c r="A12" s="102" t="str">
        <f>IF(AND(E12=""),"","["&amp;TEXT($B$1,"##")&amp;"-"&amp;TEXT(ROW()-9-COUNTBLANK($E$8:E11)+1,"##")&amp;"]")</f>
        <v>[TC_SP-4]</v>
      </c>
      <c r="B12" s="146" t="s">
        <v>229</v>
      </c>
      <c r="C12" s="146" t="s">
        <v>220</v>
      </c>
      <c r="D12" s="146" t="s">
        <v>230</v>
      </c>
      <c r="E12" s="146" t="s">
        <v>231</v>
      </c>
      <c r="F12" s="109" t="s">
        <v>6</v>
      </c>
      <c r="G12" s="107">
        <f ca="1" t="shared" si="0"/>
        <v>45955</v>
      </c>
      <c r="H12" s="108" t="str">
        <f>$B$3</f>
        <v>Nguyễn Thị Bích Ngọc</v>
      </c>
      <c r="I12" s="135"/>
      <c r="J12" s="136"/>
    </row>
    <row r="13" s="72" customFormat="1" ht="53" customHeight="1" spans="1:18">
      <c r="A13" s="102" t="str">
        <f>IF(AND(E13=""),"","["&amp;TEXT($B$1,"##")&amp;"-"&amp;TEXT(ROW()-9-COUNTBLANK($E$8:E12)+1,"##")&amp;"]")</f>
        <v>[TC_SP-5]</v>
      </c>
      <c r="B13" s="146" t="s">
        <v>232</v>
      </c>
      <c r="C13" s="146" t="s">
        <v>220</v>
      </c>
      <c r="D13" s="146" t="s">
        <v>233</v>
      </c>
      <c r="E13" s="146" t="s">
        <v>234</v>
      </c>
      <c r="F13" s="109" t="s">
        <v>6</v>
      </c>
      <c r="G13" s="110">
        <f ca="1" t="shared" si="0"/>
        <v>45955</v>
      </c>
      <c r="H13" s="111" t="str">
        <f>$B$3</f>
        <v>Nguyễn Thị Bích Ngọc</v>
      </c>
      <c r="I13" s="137"/>
      <c r="J13" s="138"/>
      <c r="K13" s="139"/>
      <c r="L13" s="139"/>
      <c r="M13" s="139"/>
      <c r="N13" s="139"/>
      <c r="O13" s="139"/>
      <c r="P13" s="139"/>
      <c r="Q13" s="139"/>
      <c r="R13" s="139"/>
    </row>
    <row r="14" ht="66" customHeight="1" spans="1:10">
      <c r="A14" s="102" t="str">
        <f>IF(AND(E14=""),"","["&amp;TEXT($B$1,"##")&amp;"-"&amp;TEXT(ROW()-9-COUNTBLANK($E$8:E13)+1,"##")&amp;"]")</f>
        <v>[TC_SP-6]</v>
      </c>
      <c r="B14" s="146" t="s">
        <v>235</v>
      </c>
      <c r="C14" s="146" t="s">
        <v>220</v>
      </c>
      <c r="D14" s="146" t="s">
        <v>236</v>
      </c>
      <c r="E14" s="146" t="s">
        <v>237</v>
      </c>
      <c r="F14" s="109" t="s">
        <v>6</v>
      </c>
      <c r="G14" s="110">
        <f ca="1" t="shared" si="0"/>
        <v>45955</v>
      </c>
      <c r="H14" s="111" t="str">
        <f>$B$3</f>
        <v>Nguyễn Thị Bích Ngọc</v>
      </c>
      <c r="I14" s="140"/>
      <c r="J14" s="141"/>
    </row>
    <row r="15" ht="80" customHeight="1" spans="1:10">
      <c r="A15" s="102" t="str">
        <f>IF(AND(E15=""),"","["&amp;TEXT($B$1,"##")&amp;"-"&amp;TEXT(ROW()-9-COUNTBLANK($E$8:E14)+1,"##")&amp;"]")</f>
        <v>[TC_SP-7]</v>
      </c>
      <c r="B15" s="146" t="s">
        <v>238</v>
      </c>
      <c r="C15" s="146" t="s">
        <v>220</v>
      </c>
      <c r="D15" s="146" t="s">
        <v>239</v>
      </c>
      <c r="E15" s="146" t="s">
        <v>240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42"/>
      <c r="J15" s="132"/>
    </row>
    <row r="16" ht="51" customHeight="1" spans="1:10">
      <c r="A16" s="102" t="str">
        <f>IF(AND(E16=""),"","["&amp;TEXT($B$1,"##")&amp;"-"&amp;TEXT(ROW()-9-COUNTBLANK($E$8:E15)+1,"##")&amp;"]")</f>
        <v>[TC_SP-8]</v>
      </c>
      <c r="B16" s="146" t="s">
        <v>241</v>
      </c>
      <c r="C16" s="146" t="s">
        <v>220</v>
      </c>
      <c r="D16" s="146" t="s">
        <v>242</v>
      </c>
      <c r="E16" s="146" t="s">
        <v>243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3"/>
      <c r="J16" s="144"/>
    </row>
    <row r="17" ht="76.5" customHeight="1" spans="1:10">
      <c r="A17" s="102" t="str">
        <f>IF(AND(E17=""),"","["&amp;TEXT($B$1,"##")&amp;"-"&amp;TEXT(ROW()-9-COUNTBLANK($E$8:E16)+1,"##")&amp;"]")</f>
        <v>[TC_SP-9]</v>
      </c>
      <c r="B17" s="146" t="s">
        <v>131</v>
      </c>
      <c r="C17" s="146" t="s">
        <v>220</v>
      </c>
      <c r="D17" s="146" t="s">
        <v>244</v>
      </c>
      <c r="E17" s="146" t="s">
        <v>245</v>
      </c>
      <c r="F17" s="109" t="s">
        <v>6</v>
      </c>
      <c r="G17" s="110">
        <f ca="1" t="shared" si="0"/>
        <v>45955</v>
      </c>
      <c r="H17" s="111" t="str">
        <f>$B$3</f>
        <v>Nguyễn Thị Bích Ngọc</v>
      </c>
      <c r="I17" s="147"/>
      <c r="J17" s="132"/>
    </row>
    <row r="18" s="73" customFormat="1" ht="55" customHeight="1" spans="1:10">
      <c r="A18" s="102" t="str">
        <f>IF(AND(E18=""),"","["&amp;TEXT($B$1,"##")&amp;"-"&amp;TEXT(ROW()-9-COUNTBLANK($E$8:E17)+1,"##")&amp;"]")</f>
        <v>[TC_SP-10]</v>
      </c>
      <c r="B18" s="146" t="s">
        <v>246</v>
      </c>
      <c r="C18" s="146" t="s">
        <v>220</v>
      </c>
      <c r="D18" s="146" t="s">
        <v>247</v>
      </c>
      <c r="E18" s="146" t="s">
        <v>248</v>
      </c>
      <c r="F18" s="109" t="s">
        <v>6</v>
      </c>
      <c r="G18" s="110">
        <f ca="1" t="shared" si="0"/>
        <v>45955</v>
      </c>
      <c r="H18" s="111" t="str">
        <f>$B$3</f>
        <v>Nguyễn Thị Bích Ngọc</v>
      </c>
      <c r="I18" s="147"/>
      <c r="J18" s="132"/>
    </row>
    <row r="19" s="73" customFormat="1" ht="89.25" customHeight="1" spans="1:10">
      <c r="A19" s="102" t="str">
        <f>IF(AND(E19=""),"","["&amp;TEXT($B$1,"##")&amp;"-"&amp;TEXT(ROW()-9-COUNTBLANK($E$8:E18)+1,"##")&amp;"]")</f>
        <v>[TC_SP-11]</v>
      </c>
      <c r="B19" s="146" t="s">
        <v>249</v>
      </c>
      <c r="C19" s="146" t="s">
        <v>220</v>
      </c>
      <c r="D19" s="146" t="s">
        <v>250</v>
      </c>
      <c r="E19" s="146" t="s">
        <v>251</v>
      </c>
      <c r="F19" s="109" t="s">
        <v>6</v>
      </c>
      <c r="G19" s="110">
        <f ca="1" t="shared" si="0"/>
        <v>45955</v>
      </c>
      <c r="H19" s="111" t="str">
        <f>$B$3</f>
        <v>Nguyễn Thị Bích Ngọc</v>
      </c>
      <c r="I19" s="147"/>
      <c r="J19" s="132"/>
    </row>
    <row r="20" s="73" customFormat="1" ht="34.5" spans="1:10">
      <c r="A20" s="102" t="str">
        <f>IF(AND(E20=""),"","["&amp;TEXT($B$1,"##")&amp;"-"&amp;TEXT(ROW()-9-COUNTBLANK($E$8:E19)+1,"##")&amp;"]")</f>
        <v>[TC_SP-12]</v>
      </c>
      <c r="B20" s="146" t="s">
        <v>252</v>
      </c>
      <c r="C20" s="146" t="s">
        <v>253</v>
      </c>
      <c r="D20" s="146" t="s">
        <v>254</v>
      </c>
      <c r="E20" s="146" t="s">
        <v>255</v>
      </c>
      <c r="F20" s="109" t="s">
        <v>6</v>
      </c>
      <c r="G20" s="110">
        <f ca="1" t="shared" si="0"/>
        <v>45955</v>
      </c>
      <c r="H20" s="111" t="str">
        <f>$B$3</f>
        <v>Nguyễn Thị Bích Ngọc</v>
      </c>
      <c r="I20" s="147"/>
      <c r="J20" s="132"/>
    </row>
    <row r="21" s="73" customFormat="1" ht="76.5" customHeight="1" spans="1:10">
      <c r="A21" s="102" t="str">
        <f>IF(AND(E21=""),"","["&amp;TEXT($B$1,"##")&amp;"-"&amp;TEXT(ROW()-9-COUNTBLANK($E$8:E20)+1,"##")&amp;"]")</f>
        <v>[TC_SP-13]</v>
      </c>
      <c r="B21" s="146" t="s">
        <v>256</v>
      </c>
      <c r="C21" s="146" t="s">
        <v>257</v>
      </c>
      <c r="D21" s="146" t="s">
        <v>254</v>
      </c>
      <c r="E21" s="146" t="s">
        <v>258</v>
      </c>
      <c r="F21" s="109" t="s">
        <v>6</v>
      </c>
      <c r="G21" s="110">
        <f ca="1" t="shared" si="0"/>
        <v>45955</v>
      </c>
      <c r="H21" s="111" t="str">
        <f>$B$3</f>
        <v>Nguyễn Thị Bích Ngọc</v>
      </c>
      <c r="I21" s="147"/>
      <c r="J21" s="132"/>
    </row>
    <row r="22" s="73" customFormat="1" ht="51.75" spans="1:10">
      <c r="A22" s="102" t="str">
        <f>IF(AND(E22=""),"","["&amp;TEXT($B$1,"##")&amp;"-"&amp;TEXT(ROW()-9-COUNTBLANK($E$8:E21)+1,"##")&amp;"]")</f>
        <v>[TC_SP-14]</v>
      </c>
      <c r="B22" s="146" t="s">
        <v>259</v>
      </c>
      <c r="C22" s="146" t="s">
        <v>260</v>
      </c>
      <c r="D22" s="146" t="s">
        <v>254</v>
      </c>
      <c r="E22" s="146" t="s">
        <v>261</v>
      </c>
      <c r="F22" s="109" t="s">
        <v>6</v>
      </c>
      <c r="G22" s="110">
        <f ca="1" t="shared" si="0"/>
        <v>45955</v>
      </c>
      <c r="H22" s="111" t="str">
        <f>$B$3</f>
        <v>Nguyễn Thị Bích Ngọc</v>
      </c>
      <c r="I22" s="147"/>
      <c r="J22" s="132"/>
    </row>
    <row r="23" s="73" customFormat="1" spans="1:8">
      <c r="A23" s="118"/>
      <c r="B23" s="119"/>
      <c r="C23" s="119"/>
      <c r="D23" s="120"/>
      <c r="E23" s="119"/>
      <c r="F23" s="118"/>
      <c r="G23" s="121"/>
      <c r="H23" s="118"/>
    </row>
    <row r="24" s="73" customFormat="1" ht="89.25" customHeight="1" spans="1:8">
      <c r="A24" s="118"/>
      <c r="B24" s="119"/>
      <c r="C24" s="119"/>
      <c r="D24" s="120"/>
      <c r="E24" s="119"/>
      <c r="F24" s="118"/>
      <c r="G24" s="121"/>
      <c r="H24" s="118"/>
    </row>
    <row r="25" s="73" customFormat="1" spans="1:8">
      <c r="A25" s="118"/>
      <c r="B25" s="119"/>
      <c r="C25" s="119"/>
      <c r="D25" s="120"/>
      <c r="E25" s="119"/>
      <c r="F25" s="118"/>
      <c r="G25" s="121"/>
      <c r="H25" s="118"/>
    </row>
    <row r="26" s="73" customFormat="1" ht="76.5" customHeight="1" spans="1:8">
      <c r="A26" s="118"/>
      <c r="B26" s="119"/>
      <c r="C26" s="119"/>
      <c r="D26" s="120"/>
      <c r="E26" s="119"/>
      <c r="F26" s="118"/>
      <c r="G26" s="121"/>
      <c r="H26" s="118"/>
    </row>
    <row r="27" s="73" customFormat="1" spans="1:8">
      <c r="A27" s="118"/>
      <c r="B27" s="119"/>
      <c r="C27" s="119"/>
      <c r="D27" s="120"/>
      <c r="E27" s="119"/>
      <c r="F27" s="118"/>
      <c r="G27" s="121"/>
      <c r="H27" s="118"/>
    </row>
    <row r="28" s="73" customFormat="1" customHeight="1" spans="1:9">
      <c r="A28" s="118"/>
      <c r="B28" s="118"/>
      <c r="C28" s="118"/>
      <c r="D28" s="118"/>
      <c r="E28" s="118"/>
      <c r="F28" s="118"/>
      <c r="G28" s="118"/>
      <c r="H28" s="118"/>
      <c r="I28" s="118"/>
    </row>
    <row r="29" s="73" customFormat="1" spans="1:8">
      <c r="A29" s="118"/>
      <c r="B29" s="119"/>
      <c r="C29" s="119"/>
      <c r="D29" s="120"/>
      <c r="E29" s="119"/>
      <c r="F29" s="118"/>
      <c r="G29" s="121"/>
      <c r="H29" s="118"/>
    </row>
    <row r="30" s="73" customFormat="1" ht="51" customHeight="1" spans="1:8">
      <c r="A30" s="118"/>
      <c r="B30" s="119"/>
      <c r="C30" s="119"/>
      <c r="D30" s="120"/>
      <c r="E30" s="119"/>
      <c r="F30" s="118"/>
      <c r="G30" s="121"/>
      <c r="H30" s="118"/>
    </row>
    <row r="31" s="73" customFormat="1" spans="1:8">
      <c r="A31" s="118"/>
      <c r="B31" s="119"/>
      <c r="C31" s="119"/>
      <c r="D31" s="120"/>
      <c r="E31" s="119"/>
      <c r="F31" s="118"/>
      <c r="G31" s="121"/>
      <c r="H31" s="118"/>
    </row>
    <row r="32" s="73" customFormat="1" customHeight="1" spans="1:9">
      <c r="A32" s="122"/>
      <c r="B32" s="122"/>
      <c r="C32" s="122"/>
      <c r="D32" s="122"/>
      <c r="E32" s="122"/>
      <c r="F32" s="122"/>
      <c r="G32" s="122"/>
      <c r="H32" s="122"/>
      <c r="I32" s="122"/>
    </row>
    <row r="33" s="73" customFormat="1" spans="1:9">
      <c r="A33" s="118"/>
      <c r="B33" s="119"/>
      <c r="C33" s="119"/>
      <c r="D33" s="120"/>
      <c r="E33" s="119"/>
      <c r="F33" s="118"/>
      <c r="G33" s="121"/>
      <c r="H33" s="118"/>
      <c r="I33" s="122"/>
    </row>
    <row r="34" s="73" customFormat="1" ht="76.5" customHeight="1" spans="1:8">
      <c r="A34" s="118"/>
      <c r="B34" s="119"/>
      <c r="C34" s="119"/>
      <c r="D34" s="120"/>
      <c r="E34" s="119"/>
      <c r="F34" s="118"/>
      <c r="G34" s="121"/>
      <c r="H34" s="118"/>
    </row>
    <row r="35" s="73" customFormat="1" spans="1:8">
      <c r="A35" s="118"/>
      <c r="B35" s="119"/>
      <c r="C35" s="119"/>
      <c r="D35" s="120"/>
      <c r="E35" s="123"/>
      <c r="F35" s="118"/>
      <c r="G35" s="121"/>
      <c r="H35" s="118"/>
    </row>
    <row r="36" s="73" customFormat="1" spans="1:8">
      <c r="A36" s="118"/>
      <c r="B36" s="123"/>
      <c r="C36" s="119"/>
      <c r="D36" s="120"/>
      <c r="E36" s="119"/>
      <c r="F36" s="118"/>
      <c r="G36" s="121"/>
      <c r="H36" s="118"/>
    </row>
    <row r="37" s="73" customFormat="1" spans="1:8">
      <c r="A37" s="118"/>
      <c r="B37" s="123"/>
      <c r="C37" s="119"/>
      <c r="D37" s="120"/>
      <c r="E37" s="123"/>
      <c r="F37" s="118"/>
      <c r="G37" s="121"/>
      <c r="H37" s="118"/>
    </row>
    <row r="38" s="73" customFormat="1" spans="1:8">
      <c r="A38" s="118"/>
      <c r="B38" s="123"/>
      <c r="C38" s="119"/>
      <c r="D38" s="120"/>
      <c r="E38" s="123"/>
      <c r="F38" s="118"/>
      <c r="G38" s="121"/>
      <c r="H38" s="118"/>
    </row>
    <row r="39" s="73" customFormat="1" spans="1:8">
      <c r="A39" s="118"/>
      <c r="B39" s="123"/>
      <c r="C39" s="119"/>
      <c r="D39" s="120"/>
      <c r="E39" s="123"/>
      <c r="F39" s="118"/>
      <c r="G39" s="121"/>
      <c r="H39" s="118"/>
    </row>
    <row r="40" s="73" customFormat="1" ht="51" customHeight="1" spans="1:8">
      <c r="A40" s="118"/>
      <c r="B40" s="123"/>
      <c r="C40" s="119"/>
      <c r="D40" s="120"/>
      <c r="E40" s="123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spans="1:8">
      <c r="A43" s="118"/>
      <c r="B43" s="123"/>
      <c r="C43" s="119"/>
      <c r="D43" s="120"/>
      <c r="E43" s="123"/>
      <c r="F43" s="118"/>
      <c r="G43" s="121"/>
      <c r="H43" s="118"/>
    </row>
    <row r="44" s="73" customFormat="1" spans="1:8">
      <c r="A44" s="118"/>
      <c r="B44" s="123"/>
      <c r="C44" s="119"/>
      <c r="D44" s="120"/>
      <c r="E44" s="123"/>
      <c r="F44" s="118"/>
      <c r="G44" s="121"/>
      <c r="H44" s="118"/>
    </row>
    <row r="45" s="73" customFormat="1" spans="1:8">
      <c r="A45" s="118"/>
      <c r="B45" s="123"/>
      <c r="C45" s="123"/>
      <c r="D45" s="120"/>
      <c r="E45" s="123"/>
      <c r="F45" s="118"/>
      <c r="G45" s="121"/>
      <c r="H45" s="118"/>
    </row>
    <row r="46" s="73" customFormat="1" spans="1:8">
      <c r="A46" s="118"/>
      <c r="C46" s="123"/>
      <c r="D46" s="120"/>
      <c r="E46" s="123"/>
      <c r="F46" s="118"/>
      <c r="G46" s="121"/>
      <c r="H46" s="118"/>
    </row>
    <row r="47" s="73" customFormat="1" spans="1:8">
      <c r="A47" s="118"/>
      <c r="B47" s="123"/>
      <c r="C47" s="123"/>
      <c r="D47" s="120"/>
      <c r="E47" s="123"/>
      <c r="F47" s="118"/>
      <c r="G47" s="121"/>
      <c r="H47" s="118"/>
    </row>
    <row r="48" s="73" customFormat="1" spans="1:9">
      <c r="A48" s="124"/>
      <c r="B48" s="124"/>
      <c r="C48" s="124"/>
      <c r="D48" s="124"/>
      <c r="E48" s="124"/>
      <c r="F48" s="124"/>
      <c r="G48" s="124"/>
      <c r="H48" s="124"/>
      <c r="I48" s="124"/>
    </row>
    <row r="49" s="73" customFormat="1" spans="1:9">
      <c r="A49" s="125"/>
      <c r="B49" s="123"/>
      <c r="C49" s="123"/>
      <c r="D49" s="120"/>
      <c r="E49" s="123"/>
      <c r="F49" s="125"/>
      <c r="G49" s="126"/>
      <c r="H49" s="118"/>
      <c r="I49" s="72"/>
    </row>
    <row r="50" s="73" customFormat="1" ht="99" customHeight="1" spans="1:9">
      <c r="A50" s="125"/>
      <c r="B50" s="123"/>
      <c r="C50" s="123"/>
      <c r="D50" s="120"/>
      <c r="E50" s="123"/>
      <c r="F50" s="125"/>
      <c r="G50" s="126"/>
      <c r="H50" s="118"/>
      <c r="I50" s="72"/>
    </row>
    <row r="51" s="73" customFormat="1" spans="1:9">
      <c r="A51" s="125"/>
      <c r="B51" s="123"/>
      <c r="C51" s="123"/>
      <c r="D51" s="120"/>
      <c r="E51" s="123"/>
      <c r="F51" s="125"/>
      <c r="G51" s="126"/>
      <c r="H51" s="118"/>
      <c r="I51" s="72"/>
    </row>
    <row r="52" s="73" customFormat="1" spans="1:9">
      <c r="A52" s="125"/>
      <c r="B52" s="123"/>
      <c r="C52" s="123"/>
      <c r="D52" s="120"/>
      <c r="E52" s="123"/>
      <c r="F52" s="125"/>
      <c r="G52" s="126"/>
      <c r="H52" s="118"/>
      <c r="I52" s="72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0"/>
      <c r="E58" s="123"/>
      <c r="F58" s="125"/>
      <c r="G58" s="126"/>
      <c r="H58" s="118"/>
      <c r="I58" s="72"/>
    </row>
    <row r="59" s="73" customFormat="1" spans="1:9">
      <c r="A59" s="125"/>
      <c r="B59" s="123"/>
      <c r="C59" s="123"/>
      <c r="D59" s="120"/>
      <c r="E59" s="123"/>
      <c r="F59" s="125"/>
      <c r="G59" s="126"/>
      <c r="H59" s="118"/>
      <c r="I59" s="72"/>
    </row>
    <row r="60" s="73" customFormat="1" spans="1:9">
      <c r="A60" s="125"/>
      <c r="B60" s="123"/>
      <c r="C60" s="123"/>
      <c r="D60" s="123"/>
      <c r="E60" s="123"/>
      <c r="F60" s="125"/>
      <c r="G60" s="126"/>
      <c r="H60" s="118"/>
      <c r="I60" s="72"/>
    </row>
    <row r="61" s="73" customFormat="1" spans="1:5">
      <c r="A61" s="125"/>
      <c r="B61" s="123"/>
      <c r="C61" s="123"/>
      <c r="D61" s="123"/>
      <c r="E61" s="123"/>
    </row>
    <row r="62" s="73" customFormat="1" spans="1:5">
      <c r="A62" s="125"/>
      <c r="B62" s="123"/>
      <c r="C62" s="123"/>
      <c r="D62" s="123"/>
      <c r="E62" s="123"/>
    </row>
    <row r="63" s="73" customFormat="1" spans="1:5">
      <c r="A63" s="125"/>
      <c r="B63" s="123"/>
      <c r="C63" s="123"/>
      <c r="D63" s="123"/>
      <c r="E63" s="123"/>
    </row>
    <row r="64" s="73" customFormat="1" spans="1:5">
      <c r="A64" s="125"/>
      <c r="B64" s="123"/>
      <c r="C64" s="123"/>
      <c r="D64" s="123"/>
      <c r="E64" s="123"/>
    </row>
    <row r="65" spans="2:5">
      <c r="B65" s="145"/>
      <c r="C65" s="145"/>
      <c r="D65" s="145"/>
      <c r="E65" s="145"/>
    </row>
    <row r="66" spans="2:5">
      <c r="B66" s="145"/>
      <c r="C66" s="145"/>
      <c r="D66" s="145"/>
      <c r="E66" s="145"/>
    </row>
    <row r="67" spans="2:5">
      <c r="B67" s="145"/>
      <c r="C67" s="145"/>
      <c r="D67" s="145"/>
      <c r="E67" s="145"/>
    </row>
    <row r="68" spans="2:5">
      <c r="B68" s="145"/>
      <c r="C68" s="145"/>
      <c r="D68" s="145"/>
      <c r="E68" s="145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  <row r="73" spans="2:5">
      <c r="B73" s="145"/>
      <c r="C73" s="145"/>
      <c r="D73" s="145"/>
      <c r="E73" s="145"/>
    </row>
    <row r="74" spans="2:5">
      <c r="B74" s="145"/>
      <c r="C74" s="145"/>
      <c r="D74" s="145"/>
      <c r="E74" s="145"/>
    </row>
  </sheetData>
  <mergeCells count="6">
    <mergeCell ref="B1:E1"/>
    <mergeCell ref="B2:E2"/>
    <mergeCell ref="B3:E3"/>
    <mergeCell ref="A28:I28"/>
    <mergeCell ref="A32:I32"/>
    <mergeCell ref="A48:I48"/>
  </mergeCells>
  <conditionalFormatting sqref="F30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3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0" priority="21" operator="equal">
      <formula>"N/A"</formula>
    </cfRule>
    <cfRule type="cellIs" dxfId="1" priority="22" operator="equal">
      <formula>"Fail"</formula>
    </cfRule>
    <cfRule type="cellIs" dxfId="2" priority="23" operator="equal">
      <formula>Fail</formula>
    </cfRule>
    <cfRule type="cellIs" dxfId="3" priority="24" operator="equal">
      <formula>"Pass"</formula>
    </cfRule>
  </conditionalFormatting>
  <conditionalFormatting sqref="F9:F22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9:F60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3:F27 F29 F31 F34:F47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3 F9:F47 F49:F60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"/>
  <sheetViews>
    <sheetView zoomScale="70" zoomScaleNormal="70" topLeftCell="A11" workbookViewId="0">
      <selection activeCell="K12" sqref="K12"/>
    </sheetView>
  </sheetViews>
  <sheetFormatPr defaultColWidth="9.14285714285714" defaultRowHeight="15"/>
  <cols>
    <col min="1" max="1" width="13.8571428571429" customWidth="1"/>
    <col min="2" max="2" width="27.1428571428571" customWidth="1"/>
    <col min="3" max="3" width="24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262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12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12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76.5" customHeight="1" spans="1:10">
      <c r="A9" s="102" t="str">
        <f>IF(AND(E9=""),"","["&amp;TEXT($B$1,"##")&amp;"-"&amp;TEXT(ROW()-9-COUNTBLANK($E$8:E8)+1,"##")&amp;"]")</f>
        <v>[TC_DH-1]</v>
      </c>
      <c r="B9" s="146" t="s">
        <v>263</v>
      </c>
      <c r="C9" s="146" t="s">
        <v>264</v>
      </c>
      <c r="D9" s="146" t="s">
        <v>265</v>
      </c>
      <c r="E9" s="146" t="s">
        <v>266</v>
      </c>
      <c r="F9" s="104" t="s">
        <v>6</v>
      </c>
      <c r="G9" s="107">
        <f ca="1" t="shared" ref="G9:G20" si="0">TODAY()</f>
        <v>45955</v>
      </c>
      <c r="H9" s="108" t="str">
        <f>$B$3</f>
        <v>Nguyễn Thị Bích Ngọc</v>
      </c>
      <c r="I9" s="134"/>
      <c r="J9" s="132"/>
    </row>
    <row r="10" ht="73" customHeight="1" spans="1:10">
      <c r="A10" s="102" t="str">
        <f>IF(AND(E10=""),"","["&amp;TEXT($B$1,"##")&amp;"-"&amp;TEXT(ROW()-9-COUNTBLANK($E$8:E9)+1,"##")&amp;"]")</f>
        <v>[TC_DH-2]</v>
      </c>
      <c r="B10" s="146" t="s">
        <v>267</v>
      </c>
      <c r="C10" s="146" t="s">
        <v>264</v>
      </c>
      <c r="D10" s="146" t="s">
        <v>268</v>
      </c>
      <c r="E10" s="146" t="s">
        <v>269</v>
      </c>
      <c r="F10" s="109" t="s">
        <v>6</v>
      </c>
      <c r="G10" s="107">
        <f ca="1" t="shared" si="0"/>
        <v>45955</v>
      </c>
      <c r="H10" s="108" t="str">
        <f>$B$3</f>
        <v>Nguyễn Thị Bích Ngọc</v>
      </c>
      <c r="I10" s="135"/>
      <c r="J10" s="136"/>
    </row>
    <row r="11" s="72" customFormat="1" ht="53" customHeight="1" spans="1:18">
      <c r="A11" s="102" t="str">
        <f>IF(AND(E11=""),"","["&amp;TEXT($B$1,"##")&amp;"-"&amp;TEXT(ROW()-9-COUNTBLANK($E$8:E10)+1,"##")&amp;"]")</f>
        <v>[TC_DH-3]</v>
      </c>
      <c r="B11" s="146" t="s">
        <v>270</v>
      </c>
      <c r="C11" s="146" t="s">
        <v>264</v>
      </c>
      <c r="D11" s="146" t="s">
        <v>271</v>
      </c>
      <c r="E11" s="146" t="s">
        <v>272</v>
      </c>
      <c r="F11" s="109" t="s">
        <v>6</v>
      </c>
      <c r="G11" s="110">
        <f ca="1" t="shared" si="0"/>
        <v>45955</v>
      </c>
      <c r="H11" s="111" t="str">
        <f>$B$3</f>
        <v>Nguyễn Thị Bích Ngọc</v>
      </c>
      <c r="I11" s="137"/>
      <c r="J11" s="138"/>
      <c r="K11" s="139"/>
      <c r="L11" s="139"/>
      <c r="M11" s="139"/>
      <c r="N11" s="139"/>
      <c r="O11" s="139"/>
      <c r="P11" s="139"/>
      <c r="Q11" s="139"/>
      <c r="R11" s="139"/>
    </row>
    <row r="12" ht="66" customHeight="1" spans="1:10">
      <c r="A12" s="102" t="str">
        <f>IF(AND(E12=""),"","["&amp;TEXT($B$1,"##")&amp;"-"&amp;TEXT(ROW()-9-COUNTBLANK($E$8:E11)+1,"##")&amp;"]")</f>
        <v>[TC_DH-4]</v>
      </c>
      <c r="B12" s="146" t="s">
        <v>273</v>
      </c>
      <c r="C12" s="146" t="s">
        <v>264</v>
      </c>
      <c r="D12" s="146" t="s">
        <v>274</v>
      </c>
      <c r="E12" s="146" t="s">
        <v>275</v>
      </c>
      <c r="F12" s="109" t="s">
        <v>6</v>
      </c>
      <c r="G12" s="110">
        <f ca="1" t="shared" si="0"/>
        <v>45955</v>
      </c>
      <c r="H12" s="111" t="str">
        <f>$B$3</f>
        <v>Nguyễn Thị Bích Ngọc</v>
      </c>
      <c r="I12" s="140"/>
      <c r="J12" s="141"/>
    </row>
    <row r="13" ht="80" customHeight="1" spans="1:10">
      <c r="A13" s="102" t="str">
        <f>IF(AND(E13=""),"","["&amp;TEXT($B$1,"##")&amp;"-"&amp;TEXT(ROW()-9-COUNTBLANK($E$8:E12)+1,"##")&amp;"]")</f>
        <v>[TC_DH-5]</v>
      </c>
      <c r="B13" s="146" t="s">
        <v>276</v>
      </c>
      <c r="C13" s="146" t="s">
        <v>264</v>
      </c>
      <c r="D13" s="146" t="s">
        <v>277</v>
      </c>
      <c r="E13" s="146" t="s">
        <v>278</v>
      </c>
      <c r="F13" s="109" t="s">
        <v>6</v>
      </c>
      <c r="G13" s="110">
        <f ca="1" t="shared" si="0"/>
        <v>45955</v>
      </c>
      <c r="H13" s="111" t="str">
        <f>$B$3</f>
        <v>Nguyễn Thị Bích Ngọc</v>
      </c>
      <c r="I13" s="142"/>
      <c r="J13" s="132"/>
    </row>
    <row r="14" ht="51" customHeight="1" spans="1:10">
      <c r="A14" s="102" t="str">
        <f>IF(AND(E14=""),"","["&amp;TEXT($B$1,"##")&amp;"-"&amp;TEXT(ROW()-9-COUNTBLANK($E$8:E13)+1,"##")&amp;"]")</f>
        <v>[TC_DH-6]</v>
      </c>
      <c r="B14" s="146" t="s">
        <v>279</v>
      </c>
      <c r="C14" s="146" t="s">
        <v>264</v>
      </c>
      <c r="D14" s="146" t="s">
        <v>280</v>
      </c>
      <c r="E14" s="146" t="s">
        <v>281</v>
      </c>
      <c r="F14" s="109" t="s">
        <v>6</v>
      </c>
      <c r="G14" s="110">
        <f ca="1" t="shared" si="0"/>
        <v>45955</v>
      </c>
      <c r="H14" s="111" t="str">
        <f>$B$3</f>
        <v>Nguyễn Thị Bích Ngọc</v>
      </c>
      <c r="I14" s="143"/>
      <c r="J14" s="144"/>
    </row>
    <row r="15" ht="76.5" customHeight="1" spans="1:10">
      <c r="A15" s="102" t="str">
        <f>IF(AND(E15=""),"","["&amp;TEXT($B$1,"##")&amp;"-"&amp;TEXT(ROW()-9-COUNTBLANK($E$8:E14)+1,"##")&amp;"]")</f>
        <v>[TC_DH-7]</v>
      </c>
      <c r="B15" s="146" t="s">
        <v>282</v>
      </c>
      <c r="C15" s="146" t="s">
        <v>264</v>
      </c>
      <c r="D15" s="146" t="s">
        <v>283</v>
      </c>
      <c r="E15" s="146" t="s">
        <v>284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47"/>
      <c r="J15" s="132"/>
    </row>
    <row r="16" s="73" customFormat="1" ht="55" customHeight="1" spans="1:10">
      <c r="A16" s="102" t="str">
        <f>IF(AND(E16=""),"","["&amp;TEXT($B$1,"##")&amp;"-"&amp;TEXT(ROW()-9-COUNTBLANK($E$8:E15)+1,"##")&amp;"]")</f>
        <v>[TC_DH-8]</v>
      </c>
      <c r="B16" s="146" t="s">
        <v>285</v>
      </c>
      <c r="C16" s="146" t="s">
        <v>264</v>
      </c>
      <c r="D16" s="146" t="s">
        <v>286</v>
      </c>
      <c r="E16" s="146" t="s">
        <v>287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7"/>
      <c r="J16" s="132"/>
    </row>
    <row r="17" s="73" customFormat="1" ht="89.25" customHeight="1" spans="1:10">
      <c r="A17" s="102" t="str">
        <f>IF(AND(E17=""),"","["&amp;TEXT($B$1,"##")&amp;"-"&amp;TEXT(ROW()-9-COUNTBLANK($E$8:E16)+1,"##")&amp;"]")</f>
        <v>[TC_DH-9]</v>
      </c>
      <c r="B17" s="146" t="s">
        <v>288</v>
      </c>
      <c r="C17" s="146" t="s">
        <v>264</v>
      </c>
      <c r="D17" s="146" t="s">
        <v>289</v>
      </c>
      <c r="E17" s="146" t="s">
        <v>290</v>
      </c>
      <c r="F17" s="109" t="s">
        <v>6</v>
      </c>
      <c r="G17" s="110">
        <f ca="1" t="shared" si="0"/>
        <v>45955</v>
      </c>
      <c r="H17" s="111" t="str">
        <f>$B$3</f>
        <v>Nguyễn Thị Bích Ngọc</v>
      </c>
      <c r="I17" s="147"/>
      <c r="J17" s="132"/>
    </row>
    <row r="18" s="73" customFormat="1" ht="51.75" spans="1:10">
      <c r="A18" s="102" t="str">
        <f>IF(AND(E18=""),"","["&amp;TEXT($B$1,"##")&amp;"-"&amp;TEXT(ROW()-9-COUNTBLANK($E$8:E17)+1,"##")&amp;"]")</f>
        <v>[TC_DH-10]</v>
      </c>
      <c r="B18" s="146" t="s">
        <v>291</v>
      </c>
      <c r="C18" s="146" t="s">
        <v>264</v>
      </c>
      <c r="D18" s="146" t="s">
        <v>292</v>
      </c>
      <c r="E18" s="146" t="s">
        <v>293</v>
      </c>
      <c r="F18" s="109" t="s">
        <v>6</v>
      </c>
      <c r="G18" s="110">
        <f ca="1" t="shared" si="0"/>
        <v>45955</v>
      </c>
      <c r="H18" s="111" t="str">
        <f>$B$3</f>
        <v>Nguyễn Thị Bích Ngọc</v>
      </c>
      <c r="I18" s="147"/>
      <c r="J18" s="132"/>
    </row>
    <row r="19" s="73" customFormat="1" ht="76.5" customHeight="1" spans="1:10">
      <c r="A19" s="102" t="str">
        <f>IF(AND(E19=""),"","["&amp;TEXT($B$1,"##")&amp;"-"&amp;TEXT(ROW()-9-COUNTBLANK($E$8:E18)+1,"##")&amp;"]")</f>
        <v>[TC_DH-11]</v>
      </c>
      <c r="B19" s="146" t="s">
        <v>294</v>
      </c>
      <c r="C19" s="146" t="s">
        <v>264</v>
      </c>
      <c r="D19" s="146" t="s">
        <v>295</v>
      </c>
      <c r="E19" s="146" t="s">
        <v>296</v>
      </c>
      <c r="F19" s="109" t="s">
        <v>6</v>
      </c>
      <c r="G19" s="110">
        <f ca="1" t="shared" si="0"/>
        <v>45955</v>
      </c>
      <c r="H19" s="111" t="str">
        <f>$B$3</f>
        <v>Nguyễn Thị Bích Ngọc</v>
      </c>
      <c r="I19" s="147"/>
      <c r="J19" s="132"/>
    </row>
    <row r="20" s="73" customFormat="1" ht="51.75" spans="1:10">
      <c r="A20" s="102" t="str">
        <f>IF(AND(E20=""),"","["&amp;TEXT($B$1,"##")&amp;"-"&amp;TEXT(ROW()-9-COUNTBLANK($E$8:E19)+1,"##")&amp;"]")</f>
        <v>[TC_DH-12]</v>
      </c>
      <c r="B20" s="146" t="s">
        <v>297</v>
      </c>
      <c r="C20" s="146" t="s">
        <v>264</v>
      </c>
      <c r="D20" s="146" t="s">
        <v>298</v>
      </c>
      <c r="E20" s="146" t="s">
        <v>299</v>
      </c>
      <c r="F20" s="109" t="s">
        <v>6</v>
      </c>
      <c r="G20" s="110">
        <f ca="1" t="shared" si="0"/>
        <v>45955</v>
      </c>
      <c r="H20" s="111" t="str">
        <f>$B$3</f>
        <v>Nguyễn Thị Bích Ngọc</v>
      </c>
      <c r="I20" s="147"/>
      <c r="J20" s="132"/>
    </row>
    <row r="21" s="73" customFormat="1" spans="1:8">
      <c r="A21" s="118"/>
      <c r="B21" s="119"/>
      <c r="C21" s="119"/>
      <c r="D21" s="120"/>
      <c r="E21" s="119"/>
      <c r="F21" s="118"/>
      <c r="G21" s="121"/>
      <c r="H21" s="118"/>
    </row>
    <row r="22" s="73" customFormat="1" ht="89.25" customHeight="1" spans="1:8">
      <c r="A22" s="118"/>
      <c r="B22" s="119"/>
      <c r="C22" s="119"/>
      <c r="D22" s="120"/>
      <c r="E22" s="119"/>
      <c r="F22" s="118"/>
      <c r="G22" s="121"/>
      <c r="H22" s="118"/>
    </row>
    <row r="23" s="73" customFormat="1" spans="1:8">
      <c r="A23" s="118"/>
      <c r="B23" s="119"/>
      <c r="C23" s="119"/>
      <c r="D23" s="120"/>
      <c r="E23" s="119"/>
      <c r="F23" s="118"/>
      <c r="G23" s="121"/>
      <c r="H23" s="118"/>
    </row>
    <row r="24" s="73" customFormat="1" ht="76.5" customHeight="1" spans="1:8">
      <c r="A24" s="118"/>
      <c r="B24" s="119"/>
      <c r="C24" s="119"/>
      <c r="D24" s="120"/>
      <c r="E24" s="119"/>
      <c r="F24" s="118"/>
      <c r="G24" s="121"/>
      <c r="H24" s="118"/>
    </row>
    <row r="25" s="73" customFormat="1" spans="1:8">
      <c r="A25" s="118"/>
      <c r="B25" s="119"/>
      <c r="C25" s="119"/>
      <c r="D25" s="120"/>
      <c r="E25" s="119"/>
      <c r="F25" s="118"/>
      <c r="G25" s="121"/>
      <c r="H25" s="118"/>
    </row>
    <row r="26" s="73" customFormat="1" customHeight="1" spans="1:9">
      <c r="A26" s="118"/>
      <c r="B26" s="118"/>
      <c r="C26" s="118"/>
      <c r="D26" s="118"/>
      <c r="E26" s="118"/>
      <c r="F26" s="118"/>
      <c r="G26" s="118"/>
      <c r="H26" s="118"/>
      <c r="I26" s="118"/>
    </row>
    <row r="27" s="73" customFormat="1" spans="1:8">
      <c r="A27" s="118"/>
      <c r="B27" s="119"/>
      <c r="C27" s="119"/>
      <c r="D27" s="120"/>
      <c r="E27" s="119"/>
      <c r="F27" s="118"/>
      <c r="G27" s="121"/>
      <c r="H27" s="118"/>
    </row>
    <row r="28" s="73" customFormat="1" ht="51" customHeight="1" spans="1:8">
      <c r="A28" s="118"/>
      <c r="B28" s="119"/>
      <c r="C28" s="119"/>
      <c r="D28" s="120"/>
      <c r="E28" s="119"/>
      <c r="F28" s="118"/>
      <c r="G28" s="121"/>
      <c r="H28" s="118"/>
    </row>
    <row r="29" s="73" customFormat="1" spans="1:8">
      <c r="A29" s="118"/>
      <c r="B29" s="119"/>
      <c r="C29" s="119"/>
      <c r="D29" s="120"/>
      <c r="E29" s="119"/>
      <c r="F29" s="118"/>
      <c r="G29" s="121"/>
      <c r="H29" s="118"/>
    </row>
    <row r="30" s="73" customFormat="1" customHeight="1" spans="1:9">
      <c r="A30" s="122"/>
      <c r="B30" s="122"/>
      <c r="C30" s="122"/>
      <c r="D30" s="122"/>
      <c r="E30" s="122"/>
      <c r="F30" s="122"/>
      <c r="G30" s="122"/>
      <c r="H30" s="122"/>
      <c r="I30" s="122"/>
    </row>
    <row r="31" s="73" customFormat="1" spans="1:9">
      <c r="A31" s="118"/>
      <c r="B31" s="119"/>
      <c r="C31" s="119"/>
      <c r="D31" s="120"/>
      <c r="E31" s="119"/>
      <c r="F31" s="118"/>
      <c r="G31" s="121"/>
      <c r="H31" s="118"/>
      <c r="I31" s="122"/>
    </row>
    <row r="32" s="73" customFormat="1" ht="76.5" customHeight="1" spans="1:8">
      <c r="A32" s="118"/>
      <c r="B32" s="119"/>
      <c r="C32" s="119"/>
      <c r="D32" s="120"/>
      <c r="E32" s="119"/>
      <c r="F32" s="118"/>
      <c r="G32" s="121"/>
      <c r="H32" s="118"/>
    </row>
    <row r="33" s="73" customFormat="1" spans="1:8">
      <c r="A33" s="118"/>
      <c r="B33" s="119"/>
      <c r="C33" s="119"/>
      <c r="D33" s="120"/>
      <c r="E33" s="123"/>
      <c r="F33" s="118"/>
      <c r="G33" s="121"/>
      <c r="H33" s="118"/>
    </row>
    <row r="34" s="73" customFormat="1" spans="1:8">
      <c r="A34" s="118"/>
      <c r="B34" s="123"/>
      <c r="C34" s="119"/>
      <c r="D34" s="120"/>
      <c r="E34" s="119"/>
      <c r="F34" s="118"/>
      <c r="G34" s="121"/>
      <c r="H34" s="118"/>
    </row>
    <row r="35" s="73" customFormat="1" spans="1:8">
      <c r="A35" s="118"/>
      <c r="B35" s="123"/>
      <c r="C35" s="119"/>
      <c r="D35" s="120"/>
      <c r="E35" s="123"/>
      <c r="F35" s="118"/>
      <c r="G35" s="121"/>
      <c r="H35" s="118"/>
    </row>
    <row r="36" s="73" customFormat="1" spans="1:8">
      <c r="A36" s="118"/>
      <c r="B36" s="123"/>
      <c r="C36" s="119"/>
      <c r="D36" s="120"/>
      <c r="E36" s="123"/>
      <c r="F36" s="118"/>
      <c r="G36" s="121"/>
      <c r="H36" s="118"/>
    </row>
    <row r="37" s="73" customFormat="1" spans="1:8">
      <c r="A37" s="118"/>
      <c r="B37" s="123"/>
      <c r="C37" s="119"/>
      <c r="D37" s="120"/>
      <c r="E37" s="123"/>
      <c r="F37" s="118"/>
      <c r="G37" s="121"/>
      <c r="H37" s="118"/>
    </row>
    <row r="38" s="73" customFormat="1" ht="51" customHeight="1" spans="1:8">
      <c r="A38" s="118"/>
      <c r="B38" s="123"/>
      <c r="C38" s="119"/>
      <c r="D38" s="120"/>
      <c r="E38" s="123"/>
      <c r="F38" s="118"/>
      <c r="G38" s="121"/>
      <c r="H38" s="118"/>
    </row>
    <row r="39" s="73" customFormat="1" spans="1:8">
      <c r="A39" s="118"/>
      <c r="B39" s="123"/>
      <c r="C39" s="119"/>
      <c r="D39" s="120"/>
      <c r="E39" s="123"/>
      <c r="F39" s="118"/>
      <c r="G39" s="121"/>
      <c r="H39" s="118"/>
    </row>
    <row r="40" s="73" customFormat="1" spans="1:8">
      <c r="A40" s="118"/>
      <c r="B40" s="123"/>
      <c r="C40" s="119"/>
      <c r="D40" s="120"/>
      <c r="E40" s="123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spans="1:8">
      <c r="A43" s="118"/>
      <c r="B43" s="123"/>
      <c r="C43" s="123"/>
      <c r="D43" s="120"/>
      <c r="E43" s="123"/>
      <c r="F43" s="118"/>
      <c r="G43" s="121"/>
      <c r="H43" s="118"/>
    </row>
    <row r="44" s="73" customFormat="1" spans="1:8">
      <c r="A44" s="118"/>
      <c r="C44" s="123"/>
      <c r="D44" s="120"/>
      <c r="E44" s="123"/>
      <c r="F44" s="118"/>
      <c r="G44" s="121"/>
      <c r="H44" s="118"/>
    </row>
    <row r="45" s="73" customFormat="1" spans="1:8">
      <c r="A45" s="118"/>
      <c r="B45" s="123"/>
      <c r="C45" s="123"/>
      <c r="D45" s="120"/>
      <c r="E45" s="123"/>
      <c r="F45" s="118"/>
      <c r="G45" s="121"/>
      <c r="H45" s="118"/>
    </row>
    <row r="46" s="73" customFormat="1" spans="1:9">
      <c r="A46" s="124"/>
      <c r="B46" s="124"/>
      <c r="C46" s="124"/>
      <c r="D46" s="124"/>
      <c r="E46" s="124"/>
      <c r="F46" s="124"/>
      <c r="G46" s="124"/>
      <c r="H46" s="124"/>
      <c r="I46" s="124"/>
    </row>
    <row r="47" s="73" customFormat="1" spans="1:9">
      <c r="A47" s="125"/>
      <c r="B47" s="123"/>
      <c r="C47" s="123"/>
      <c r="D47" s="120"/>
      <c r="E47" s="123"/>
      <c r="F47" s="125"/>
      <c r="G47" s="126"/>
      <c r="H47" s="118"/>
      <c r="I47" s="72"/>
    </row>
    <row r="48" s="73" customFormat="1" ht="99" customHeight="1" spans="1:9">
      <c r="A48" s="125"/>
      <c r="B48" s="123"/>
      <c r="C48" s="123"/>
      <c r="D48" s="120"/>
      <c r="E48" s="123"/>
      <c r="F48" s="125"/>
      <c r="G48" s="126"/>
      <c r="H48" s="118"/>
      <c r="I48" s="72"/>
    </row>
    <row r="49" s="73" customFormat="1" spans="1:9">
      <c r="A49" s="125"/>
      <c r="B49" s="123"/>
      <c r="C49" s="123"/>
      <c r="D49" s="120"/>
      <c r="E49" s="123"/>
      <c r="F49" s="125"/>
      <c r="G49" s="126"/>
      <c r="H49" s="118"/>
      <c r="I49" s="72"/>
    </row>
    <row r="50" s="73" customFormat="1" spans="1:9">
      <c r="A50" s="125"/>
      <c r="B50" s="123"/>
      <c r="C50" s="123"/>
      <c r="D50" s="120"/>
      <c r="E50" s="123"/>
      <c r="F50" s="125"/>
      <c r="G50" s="126"/>
      <c r="H50" s="118"/>
      <c r="I50" s="72"/>
    </row>
    <row r="51" s="73" customFormat="1" spans="1:9">
      <c r="A51" s="125"/>
      <c r="B51" s="123"/>
      <c r="C51" s="123"/>
      <c r="D51" s="120"/>
      <c r="E51" s="123"/>
      <c r="F51" s="125"/>
      <c r="G51" s="126"/>
      <c r="H51" s="118"/>
      <c r="I51" s="72"/>
    </row>
    <row r="52" s="73" customFormat="1" spans="1:9">
      <c r="A52" s="125"/>
      <c r="B52" s="123"/>
      <c r="C52" s="123"/>
      <c r="D52" s="120"/>
      <c r="E52" s="123"/>
      <c r="F52" s="125"/>
      <c r="G52" s="126"/>
      <c r="H52" s="118"/>
      <c r="I52" s="72"/>
    </row>
    <row r="53" s="73" customForma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3"/>
      <c r="E58" s="123"/>
      <c r="F58" s="125"/>
      <c r="G58" s="126"/>
      <c r="H58" s="118"/>
      <c r="I58" s="72"/>
    </row>
    <row r="59" s="73" customFormat="1" spans="1:5">
      <c r="A59" s="125"/>
      <c r="B59" s="123"/>
      <c r="C59" s="123"/>
      <c r="D59" s="123"/>
      <c r="E59" s="123"/>
    </row>
    <row r="60" s="73" customFormat="1" spans="1:5">
      <c r="A60" s="125"/>
      <c r="B60" s="123"/>
      <c r="C60" s="123"/>
      <c r="D60" s="123"/>
      <c r="E60" s="123"/>
    </row>
    <row r="61" s="73" customFormat="1" spans="1:5">
      <c r="A61" s="125"/>
      <c r="B61" s="123"/>
      <c r="C61" s="123"/>
      <c r="D61" s="123"/>
      <c r="E61" s="123"/>
    </row>
    <row r="62" s="73" customFormat="1" spans="1:5">
      <c r="A62" s="125"/>
      <c r="B62" s="123"/>
      <c r="C62" s="123"/>
      <c r="D62" s="123"/>
      <c r="E62" s="123"/>
    </row>
    <row r="63" spans="2:5">
      <c r="B63" s="145"/>
      <c r="C63" s="145"/>
      <c r="D63" s="145"/>
      <c r="E63" s="145"/>
    </row>
    <row r="64" spans="2:5">
      <c r="B64" s="145"/>
      <c r="C64" s="145"/>
      <c r="D64" s="145"/>
      <c r="E64" s="145"/>
    </row>
    <row r="65" spans="2:5">
      <c r="B65" s="145"/>
      <c r="C65" s="145"/>
      <c r="D65" s="145"/>
      <c r="E65" s="145"/>
    </row>
    <row r="66" spans="2:5">
      <c r="B66" s="145"/>
      <c r="C66" s="145"/>
      <c r="D66" s="145"/>
      <c r="E66" s="145"/>
    </row>
    <row r="67" spans="2:5">
      <c r="B67" s="145"/>
      <c r="C67" s="145"/>
      <c r="D67" s="145"/>
      <c r="E67" s="145"/>
    </row>
    <row r="68" spans="2:5">
      <c r="B68" s="145"/>
      <c r="C68" s="145"/>
      <c r="D68" s="145"/>
      <c r="E68" s="145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</sheetData>
  <mergeCells count="6">
    <mergeCell ref="B1:E1"/>
    <mergeCell ref="B2:E2"/>
    <mergeCell ref="B3:E3"/>
    <mergeCell ref="A26:I26"/>
    <mergeCell ref="A30:I30"/>
    <mergeCell ref="A46:I46"/>
  </mergeCells>
  <conditionalFormatting sqref="F28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1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20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47:F58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1:F25 F27 F29 F32:F45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1 F9:F45 F47:F58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7"/>
  <sheetViews>
    <sheetView tabSelected="1" zoomScale="70" zoomScaleNormal="70" topLeftCell="A8" workbookViewId="0">
      <selection activeCell="F5" sqref="F5"/>
    </sheetView>
  </sheetViews>
  <sheetFormatPr defaultColWidth="9.14285714285714" defaultRowHeight="15"/>
  <cols>
    <col min="1" max="1" width="15.7142857142857" customWidth="1"/>
    <col min="2" max="2" width="27.1428571428571" customWidth="1"/>
    <col min="3" max="3" width="22.647619047619" customWidth="1"/>
    <col min="4" max="4" width="33.6761904761905" customWidth="1"/>
    <col min="5" max="5" width="42.0380952380952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9">
      <c r="A1" s="74" t="s">
        <v>0</v>
      </c>
      <c r="B1" s="75" t="s">
        <v>300</v>
      </c>
      <c r="C1" s="6"/>
      <c r="D1" s="6"/>
      <c r="E1" s="76"/>
      <c r="F1" s="77"/>
      <c r="G1" s="78"/>
      <c r="H1" s="78"/>
      <c r="I1" s="127"/>
    </row>
    <row r="2" ht="25.5" spans="1:9">
      <c r="A2" s="79" t="s">
        <v>2</v>
      </c>
      <c r="B2" s="80" t="s">
        <v>3</v>
      </c>
      <c r="C2" s="6"/>
      <c r="D2" s="6"/>
      <c r="E2" s="7"/>
      <c r="F2" s="81"/>
      <c r="G2" s="82"/>
      <c r="H2" s="82"/>
      <c r="I2" s="127"/>
    </row>
    <row r="3" customHeight="1" spans="1:9">
      <c r="A3" s="74" t="s">
        <v>4</v>
      </c>
      <c r="B3" s="83" t="s">
        <v>5</v>
      </c>
      <c r="C3" s="6"/>
      <c r="D3" s="6"/>
      <c r="E3" s="7"/>
      <c r="F3" s="81"/>
      <c r="G3" s="82"/>
      <c r="H3" s="82"/>
      <c r="I3" s="127"/>
    </row>
    <row r="4" spans="1:9">
      <c r="A4" s="84" t="s">
        <v>6</v>
      </c>
      <c r="B4" s="85" t="s">
        <v>7</v>
      </c>
      <c r="C4" s="85" t="s">
        <v>8</v>
      </c>
      <c r="D4" s="86" t="s">
        <v>9</v>
      </c>
      <c r="E4" s="85" t="s">
        <v>10</v>
      </c>
      <c r="F4" s="87"/>
      <c r="G4" s="87"/>
      <c r="H4" s="87"/>
      <c r="I4" s="128"/>
    </row>
    <row r="5" customHeight="1" spans="1:9">
      <c r="A5" s="88">
        <f>COUNTIF(F:F,"Pass")</f>
        <v>22</v>
      </c>
      <c r="B5" s="89">
        <f>COUNTIF(F:F,"Fail")</f>
        <v>0</v>
      </c>
      <c r="C5" s="89">
        <f>COUNTIF(F:F,"Untested")</f>
        <v>0</v>
      </c>
      <c r="D5" s="90">
        <f>COUNTIF(F:F,"N/A")</f>
        <v>0</v>
      </c>
      <c r="E5" s="89">
        <f>SUM(A5:D5)</f>
        <v>22</v>
      </c>
      <c r="F5" s="87"/>
      <c r="G5" s="87"/>
      <c r="H5" s="87"/>
      <c r="I5" s="128"/>
    </row>
    <row r="6" spans="1:9">
      <c r="A6" s="91" t="s">
        <v>11</v>
      </c>
      <c r="B6" s="92" t="s">
        <v>11</v>
      </c>
      <c r="C6" s="92" t="s">
        <v>11</v>
      </c>
      <c r="D6" s="93" t="s">
        <v>11</v>
      </c>
      <c r="E6" s="92"/>
      <c r="F6" s="87"/>
      <c r="G6" s="87"/>
      <c r="H6" s="87"/>
      <c r="I6" s="128"/>
    </row>
    <row r="7" ht="16.5" customHeight="1" spans="1:9">
      <c r="A7" s="94"/>
      <c r="B7" s="95"/>
      <c r="C7" s="96"/>
      <c r="D7" s="97"/>
      <c r="E7" s="96"/>
      <c r="F7" s="98"/>
      <c r="G7" s="98"/>
      <c r="H7" s="99"/>
      <c r="I7" s="128"/>
    </row>
    <row r="8" ht="16.5" spans="1:10">
      <c r="A8" s="100" t="s">
        <v>12</v>
      </c>
      <c r="B8" s="100" t="s">
        <v>13</v>
      </c>
      <c r="C8" s="100" t="s">
        <v>14</v>
      </c>
      <c r="D8" s="100" t="s">
        <v>15</v>
      </c>
      <c r="E8" s="100" t="s">
        <v>16</v>
      </c>
      <c r="F8" s="101" t="s">
        <v>17</v>
      </c>
      <c r="G8" s="101" t="s">
        <v>18</v>
      </c>
      <c r="H8" s="101" t="s">
        <v>4</v>
      </c>
      <c r="I8" s="129" t="s">
        <v>19</v>
      </c>
      <c r="J8" s="130"/>
    </row>
    <row r="9" ht="73" customHeight="1" spans="1:10">
      <c r="A9" s="102" t="str">
        <f>IF(AND(E9=""),"","["&amp;TEXT($B$1,"##")&amp;"-"&amp;TEXT(ROW()-9-COUNTBLANK($E$8:E8)+1,"##")&amp;"]")</f>
        <v>[TC_KM-1]</v>
      </c>
      <c r="B9" s="103" t="s">
        <v>51</v>
      </c>
      <c r="C9" s="103" t="s">
        <v>52</v>
      </c>
      <c r="D9" s="103" t="s">
        <v>53</v>
      </c>
      <c r="E9" s="103" t="s">
        <v>54</v>
      </c>
      <c r="F9" s="104" t="s">
        <v>6</v>
      </c>
      <c r="G9" s="105">
        <f ca="1">TODAY()</f>
        <v>45955</v>
      </c>
      <c r="H9" s="106" t="str">
        <f>$B$3</f>
        <v>Nguyễn Thị Bích Ngọc</v>
      </c>
      <c r="I9" s="131"/>
      <c r="J9" s="132"/>
    </row>
    <row r="10" ht="78" customHeight="1" spans="1:10">
      <c r="A10" s="102" t="str">
        <f>IF(AND(E10=""),"","["&amp;TEXT($B$1,"##")&amp;"-"&amp;TEXT(ROW()-9-COUNTBLANK($E$8:E9)+1,"##")&amp;"]")</f>
        <v>[TC_KM-2]</v>
      </c>
      <c r="B10" s="103" t="s">
        <v>301</v>
      </c>
      <c r="C10" s="103" t="s">
        <v>302</v>
      </c>
      <c r="D10" s="103" t="s">
        <v>303</v>
      </c>
      <c r="E10" s="103" t="s">
        <v>304</v>
      </c>
      <c r="F10" s="104" t="s">
        <v>6</v>
      </c>
      <c r="G10" s="107">
        <f ca="1" t="shared" ref="G10:G30" si="0">TODAY()</f>
        <v>45955</v>
      </c>
      <c r="H10" s="108" t="str">
        <f>$B$3</f>
        <v>Nguyễn Thị Bích Ngọc</v>
      </c>
      <c r="I10" s="133"/>
      <c r="J10" s="132"/>
    </row>
    <row r="11" ht="108" customHeight="1" spans="1:10">
      <c r="A11" s="102" t="str">
        <f>IF(AND(E11=""),"","["&amp;TEXT($B$1,"##")&amp;"-"&amp;TEXT(ROW()-9-COUNTBLANK($E$8:E10)+1,"##")&amp;"]")</f>
        <v>[TC_KM-3]</v>
      </c>
      <c r="B11" s="103" t="s">
        <v>305</v>
      </c>
      <c r="C11" s="103" t="s">
        <v>306</v>
      </c>
      <c r="D11" s="103" t="s">
        <v>307</v>
      </c>
      <c r="E11" s="103" t="s">
        <v>308</v>
      </c>
      <c r="F11" s="104" t="s">
        <v>6</v>
      </c>
      <c r="G11" s="107">
        <f ca="1" t="shared" si="0"/>
        <v>45955</v>
      </c>
      <c r="H11" s="108" t="str">
        <f>$B$3</f>
        <v>Nguyễn Thị Bích Ngọc</v>
      </c>
      <c r="I11" s="134"/>
      <c r="J11" s="132"/>
    </row>
    <row r="12" ht="76.5" customHeight="1" spans="1:10">
      <c r="A12" s="102" t="str">
        <f>IF(AND(E12=""),"","["&amp;TEXT($B$1,"##")&amp;"-"&amp;TEXT(ROW()-9-COUNTBLANK($E$8:E11)+1,"##")&amp;"]")</f>
        <v>[TC_KM-4]</v>
      </c>
      <c r="B12" s="103" t="s">
        <v>309</v>
      </c>
      <c r="C12" s="103" t="s">
        <v>310</v>
      </c>
      <c r="D12" s="103" t="s">
        <v>311</v>
      </c>
      <c r="E12" s="103" t="s">
        <v>312</v>
      </c>
      <c r="F12" s="104" t="s">
        <v>6</v>
      </c>
      <c r="G12" s="107">
        <f ca="1" t="shared" si="0"/>
        <v>45955</v>
      </c>
      <c r="H12" s="108" t="str">
        <f>$B$3</f>
        <v>Nguyễn Thị Bích Ngọc</v>
      </c>
      <c r="I12" s="134"/>
      <c r="J12" s="132"/>
    </row>
    <row r="13" ht="73" customHeight="1" spans="1:10">
      <c r="A13" s="102" t="str">
        <f>IF(AND(E13=""),"","["&amp;TEXT($B$1,"##")&amp;"-"&amp;TEXT(ROW()-9-COUNTBLANK($E$8:E12)+1,"##")&amp;"]")</f>
        <v>[TC_KM-5]</v>
      </c>
      <c r="B13" s="103" t="s">
        <v>313</v>
      </c>
      <c r="C13" s="103" t="s">
        <v>314</v>
      </c>
      <c r="D13" s="103" t="s">
        <v>315</v>
      </c>
      <c r="E13" s="103" t="s">
        <v>316</v>
      </c>
      <c r="F13" s="109" t="s">
        <v>6</v>
      </c>
      <c r="G13" s="107">
        <f ca="1" t="shared" si="0"/>
        <v>45955</v>
      </c>
      <c r="H13" s="108" t="str">
        <f>$B$3</f>
        <v>Nguyễn Thị Bích Ngọc</v>
      </c>
      <c r="I13" s="135"/>
      <c r="J13" s="136"/>
    </row>
    <row r="14" s="72" customFormat="1" ht="72" customHeight="1" spans="1:18">
      <c r="A14" s="102" t="str">
        <f>IF(AND(E14=""),"","["&amp;TEXT($B$1,"##")&amp;"-"&amp;TEXT(ROW()-9-COUNTBLANK($E$8:E13)+1,"##")&amp;"]")</f>
        <v>[TC_KM-6]</v>
      </c>
      <c r="B14" s="103" t="s">
        <v>317</v>
      </c>
      <c r="C14" s="103" t="s">
        <v>310</v>
      </c>
      <c r="D14" s="103" t="s">
        <v>318</v>
      </c>
      <c r="E14" s="103" t="s">
        <v>319</v>
      </c>
      <c r="F14" s="109" t="s">
        <v>6</v>
      </c>
      <c r="G14" s="110">
        <f ca="1" t="shared" si="0"/>
        <v>45955</v>
      </c>
      <c r="H14" s="111" t="str">
        <f>$B$3</f>
        <v>Nguyễn Thị Bích Ngọc</v>
      </c>
      <c r="I14" s="137"/>
      <c r="J14" s="138"/>
      <c r="K14" s="139"/>
      <c r="L14" s="139"/>
      <c r="M14" s="139"/>
      <c r="N14" s="139"/>
      <c r="O14" s="139"/>
      <c r="P14" s="139"/>
      <c r="Q14" s="139"/>
      <c r="R14" s="139"/>
    </row>
    <row r="15" ht="66" customHeight="1" spans="1:10">
      <c r="A15" s="102" t="str">
        <f>IF(AND(E15=""),"","["&amp;TEXT($B$1,"##")&amp;"-"&amp;TEXT(ROW()-9-COUNTBLANK($E$8:E14)+1,"##")&amp;"]")</f>
        <v>[TC_KM-7]</v>
      </c>
      <c r="B15" s="103" t="s">
        <v>320</v>
      </c>
      <c r="C15" s="103" t="s">
        <v>310</v>
      </c>
      <c r="D15" s="103" t="s">
        <v>321</v>
      </c>
      <c r="E15" s="103" t="s">
        <v>322</v>
      </c>
      <c r="F15" s="109" t="s">
        <v>6</v>
      </c>
      <c r="G15" s="110">
        <f ca="1" t="shared" si="0"/>
        <v>45955</v>
      </c>
      <c r="H15" s="111" t="str">
        <f>$B$3</f>
        <v>Nguyễn Thị Bích Ngọc</v>
      </c>
      <c r="I15" s="140"/>
      <c r="J15" s="141"/>
    </row>
    <row r="16" ht="46" customHeight="1" spans="1:10">
      <c r="A16" s="102" t="str">
        <f>IF(AND(E16=""),"","["&amp;TEXT($B$1,"##")&amp;"-"&amp;TEXT(ROW()-9-COUNTBLANK($E$8:E15)+1,"##")&amp;"]")</f>
        <v>[TC_KM-8]</v>
      </c>
      <c r="B16" s="103" t="s">
        <v>323</v>
      </c>
      <c r="C16" s="103" t="s">
        <v>310</v>
      </c>
      <c r="D16" s="103" t="s">
        <v>324</v>
      </c>
      <c r="E16" s="103" t="s">
        <v>325</v>
      </c>
      <c r="F16" s="109" t="s">
        <v>6</v>
      </c>
      <c r="G16" s="110">
        <f ca="1" t="shared" si="0"/>
        <v>45955</v>
      </c>
      <c r="H16" s="111" t="str">
        <f>$B$3</f>
        <v>Nguyễn Thị Bích Ngọc</v>
      </c>
      <c r="I16" s="142"/>
      <c r="J16" s="132"/>
    </row>
    <row r="17" ht="51" customHeight="1" spans="1:10">
      <c r="A17" s="102" t="str">
        <f>IF(AND(E17=""),"","["&amp;TEXT($B$1,"##")&amp;"-"&amp;TEXT(ROW()-9-COUNTBLANK($E$8:E16)+1,"##")&amp;"]")</f>
        <v>[TC_KM-9]</v>
      </c>
      <c r="B17" s="103" t="s">
        <v>326</v>
      </c>
      <c r="C17" s="103" t="s">
        <v>327</v>
      </c>
      <c r="D17" s="103" t="s">
        <v>328</v>
      </c>
      <c r="E17" s="103" t="s">
        <v>329</v>
      </c>
      <c r="F17" s="109" t="s">
        <v>6</v>
      </c>
      <c r="G17" s="110">
        <f ca="1" t="shared" si="0"/>
        <v>45955</v>
      </c>
      <c r="H17" s="111" t="str">
        <f>$B$3</f>
        <v>Nguyễn Thị Bích Ngọc</v>
      </c>
      <c r="I17" s="143"/>
      <c r="J17" s="144"/>
    </row>
    <row r="18" ht="76.5" customHeight="1" spans="1:10">
      <c r="A18" s="102" t="str">
        <f>IF(AND(E18=""),"","["&amp;TEXT($B$1,"##")&amp;"-"&amp;TEXT(ROW()-9-COUNTBLANK($E$8:E17)+1,"##")&amp;"]")</f>
        <v>[TC_KM-10]</v>
      </c>
      <c r="B18" s="103" t="s">
        <v>330</v>
      </c>
      <c r="C18" s="103" t="s">
        <v>310</v>
      </c>
      <c r="D18" s="103" t="s">
        <v>331</v>
      </c>
      <c r="E18" s="103" t="s">
        <v>332</v>
      </c>
      <c r="F18" s="109" t="s">
        <v>6</v>
      </c>
      <c r="G18" s="110">
        <f ca="1" t="shared" si="0"/>
        <v>45955</v>
      </c>
      <c r="H18" s="111" t="str">
        <f>$B$3</f>
        <v>Nguyễn Thị Bích Ngọc</v>
      </c>
      <c r="I18" s="132"/>
      <c r="J18" s="132"/>
    </row>
    <row r="19" s="73" customFormat="1" ht="58" customHeight="1" spans="1:10">
      <c r="A19" s="102" t="str">
        <f>IF(AND(E19=""),"","["&amp;TEXT($B$1,"##")&amp;"-"&amp;TEXT(ROW()-9-COUNTBLANK($E$8:E18)+1,"##")&amp;"]")</f>
        <v>[TC_KM-11]</v>
      </c>
      <c r="B19" s="103" t="s">
        <v>333</v>
      </c>
      <c r="C19" s="103" t="s">
        <v>310</v>
      </c>
      <c r="D19" s="103" t="s">
        <v>334</v>
      </c>
      <c r="E19" s="103" t="s">
        <v>335</v>
      </c>
      <c r="F19" s="109" t="s">
        <v>6</v>
      </c>
      <c r="G19" s="110">
        <f ca="1" t="shared" si="0"/>
        <v>45955</v>
      </c>
      <c r="H19" s="111" t="str">
        <f>$B$3</f>
        <v>Nguyễn Thị Bích Ngọc</v>
      </c>
      <c r="I19" s="132"/>
      <c r="J19" s="132"/>
    </row>
    <row r="20" s="73" customFormat="1" ht="89.25" customHeight="1" spans="1:10">
      <c r="A20" s="102" t="str">
        <f>IF(AND(E20=""),"","["&amp;TEXT($B$1,"##")&amp;"-"&amp;TEXT(ROW()-9-COUNTBLANK($E$8:E19)+1,"##")&amp;"]")</f>
        <v>[TC_KM-12]</v>
      </c>
      <c r="B20" s="103" t="s">
        <v>336</v>
      </c>
      <c r="C20" s="103" t="s">
        <v>337</v>
      </c>
      <c r="D20" s="103" t="s">
        <v>338</v>
      </c>
      <c r="E20" s="103" t="s">
        <v>339</v>
      </c>
      <c r="F20" s="109" t="s">
        <v>6</v>
      </c>
      <c r="G20" s="110">
        <f ca="1" t="shared" si="0"/>
        <v>45955</v>
      </c>
      <c r="H20" s="111" t="str">
        <f>$B$3</f>
        <v>Nguyễn Thị Bích Ngọc</v>
      </c>
      <c r="I20" s="132"/>
      <c r="J20" s="132"/>
    </row>
    <row r="21" s="73" customFormat="1" ht="63" customHeight="1" spans="1:10">
      <c r="A21" s="102" t="str">
        <f>IF(AND(E21=""),"","["&amp;TEXT($B$1,"##")&amp;"-"&amp;TEXT(ROW()-9-COUNTBLANK($E$8:E20)+1,"##")&amp;"]")</f>
        <v>[TC_KM-13]</v>
      </c>
      <c r="B21" s="103" t="s">
        <v>340</v>
      </c>
      <c r="C21" s="103" t="s">
        <v>337</v>
      </c>
      <c r="D21" s="103" t="s">
        <v>341</v>
      </c>
      <c r="E21" s="103" t="s">
        <v>342</v>
      </c>
      <c r="F21" s="109" t="s">
        <v>6</v>
      </c>
      <c r="G21" s="110">
        <f ca="1" t="shared" si="0"/>
        <v>45955</v>
      </c>
      <c r="H21" s="111" t="str">
        <f>$B$3</f>
        <v>Nguyễn Thị Bích Ngọc</v>
      </c>
      <c r="I21" s="132"/>
      <c r="J21" s="132"/>
    </row>
    <row r="22" s="73" customFormat="1" ht="89.25" customHeight="1" spans="1:10">
      <c r="A22" s="102" t="str">
        <f>IF(AND(E22=""),"","["&amp;TEXT($B$1,"##")&amp;"-"&amp;TEXT(ROW()-9-COUNTBLANK($E$8:E21)+1,"##")&amp;"]")</f>
        <v>[TC_KM-14]</v>
      </c>
      <c r="B22" s="103" t="s">
        <v>343</v>
      </c>
      <c r="C22" s="103" t="s">
        <v>337</v>
      </c>
      <c r="D22" s="103" t="s">
        <v>344</v>
      </c>
      <c r="E22" s="103" t="s">
        <v>345</v>
      </c>
      <c r="F22" s="109" t="s">
        <v>6</v>
      </c>
      <c r="G22" s="110">
        <f ca="1" t="shared" si="0"/>
        <v>45955</v>
      </c>
      <c r="H22" s="111" t="str">
        <f>$B$3</f>
        <v>Nguyễn Thị Bích Ngọc</v>
      </c>
      <c r="I22" s="132"/>
      <c r="J22" s="132"/>
    </row>
    <row r="23" s="73" customFormat="1" ht="57" customHeight="1" spans="1:10">
      <c r="A23" s="102" t="str">
        <f>IF(AND(E23=""),"","["&amp;TEXT($B$1,"##")&amp;"-"&amp;TEXT(ROW()-9-COUNTBLANK($E$8:E22)+1,"##")&amp;"]")</f>
        <v>[TC_KM-15]</v>
      </c>
      <c r="B23" s="103" t="s">
        <v>346</v>
      </c>
      <c r="C23" s="103" t="s">
        <v>337</v>
      </c>
      <c r="D23" s="103" t="s">
        <v>347</v>
      </c>
      <c r="E23" s="103" t="s">
        <v>348</v>
      </c>
      <c r="F23" s="109" t="s">
        <v>6</v>
      </c>
      <c r="G23" s="110">
        <f ca="1" t="shared" si="0"/>
        <v>45955</v>
      </c>
      <c r="H23" s="111" t="str">
        <f>$B$3</f>
        <v>Nguyễn Thị Bích Ngọc</v>
      </c>
      <c r="I23" s="132"/>
      <c r="J23" s="132"/>
    </row>
    <row r="24" s="73" customFormat="1" ht="76.5" customHeight="1" spans="1:10">
      <c r="A24" s="102" t="str">
        <f>IF(AND(E24=""),"","["&amp;TEXT($B$1,"##")&amp;"-"&amp;TEXT(ROW()-9-COUNTBLANK($E$8:E23)+1,"##")&amp;"]")</f>
        <v>[TC_KM-16]</v>
      </c>
      <c r="B24" s="103" t="s">
        <v>349</v>
      </c>
      <c r="C24" s="103" t="s">
        <v>350</v>
      </c>
      <c r="D24" s="103" t="s">
        <v>351</v>
      </c>
      <c r="E24" s="103" t="s">
        <v>352</v>
      </c>
      <c r="F24" s="109" t="s">
        <v>6</v>
      </c>
      <c r="G24" s="110">
        <f ca="1" t="shared" si="0"/>
        <v>45955</v>
      </c>
      <c r="H24" s="111" t="str">
        <f>$B$3</f>
        <v>Nguyễn Thị Bích Ngọc</v>
      </c>
      <c r="I24" s="132"/>
      <c r="J24" s="132"/>
    </row>
    <row r="25" s="73" customFormat="1" ht="54" customHeight="1" spans="1:10">
      <c r="A25" s="102" t="str">
        <f>IF(AND(E25=""),"","["&amp;TEXT($B$1,"##")&amp;"-"&amp;TEXT(ROW()-9-COUNTBLANK($E$8:E24)+1,"##")&amp;"]")</f>
        <v>[TC_KM-17]</v>
      </c>
      <c r="B25" s="103" t="s">
        <v>353</v>
      </c>
      <c r="C25" s="103" t="s">
        <v>354</v>
      </c>
      <c r="D25" s="103" t="s">
        <v>355</v>
      </c>
      <c r="E25" s="103" t="s">
        <v>356</v>
      </c>
      <c r="F25" s="109" t="s">
        <v>6</v>
      </c>
      <c r="G25" s="110">
        <f ca="1" t="shared" si="0"/>
        <v>45955</v>
      </c>
      <c r="H25" s="111" t="str">
        <f>$B$3</f>
        <v>Nguyễn Thị Bích Ngọc</v>
      </c>
      <c r="I25" s="132"/>
      <c r="J25" s="132"/>
    </row>
    <row r="26" s="73" customFormat="1" ht="49" customHeight="1" spans="1:10">
      <c r="A26" s="102" t="str">
        <f>IF(AND(E26=""),"","["&amp;TEXT($B$1,"##")&amp;"-"&amp;TEXT(ROW()-9-COUNTBLANK($E$8:E25)+1,"##")&amp;"]")</f>
        <v>[TC_KM-18]</v>
      </c>
      <c r="B26" s="103" t="s">
        <v>357</v>
      </c>
      <c r="C26" s="103" t="s">
        <v>310</v>
      </c>
      <c r="D26" s="103" t="s">
        <v>254</v>
      </c>
      <c r="E26" s="103" t="s">
        <v>358</v>
      </c>
      <c r="F26" s="109" t="s">
        <v>6</v>
      </c>
      <c r="G26" s="110">
        <f ca="1" t="shared" si="0"/>
        <v>45955</v>
      </c>
      <c r="H26" s="111" t="str">
        <f>$B$3</f>
        <v>Nguyễn Thị Bích Ngọc</v>
      </c>
      <c r="I26" s="132"/>
      <c r="J26" s="132"/>
    </row>
    <row r="27" s="73" customFormat="1" ht="89.25" customHeight="1" spans="1:10">
      <c r="A27" s="102" t="str">
        <f>IF(AND(E27=""),"","["&amp;TEXT($B$1,"##")&amp;"-"&amp;TEXT(ROW()-9-COUNTBLANK($E$8:E26)+1,"##")&amp;"]")</f>
        <v>[TC_KM-19]</v>
      </c>
      <c r="B27" s="112" t="s">
        <v>359</v>
      </c>
      <c r="C27" s="112" t="s">
        <v>360</v>
      </c>
      <c r="D27" s="112" t="s">
        <v>361</v>
      </c>
      <c r="E27" s="112" t="s">
        <v>362</v>
      </c>
      <c r="F27" s="109" t="s">
        <v>6</v>
      </c>
      <c r="G27" s="102">
        <f ca="1" t="shared" si="0"/>
        <v>45955</v>
      </c>
      <c r="H27" s="113" t="str">
        <f>$B$3</f>
        <v>Nguyễn Thị Bích Ngọc</v>
      </c>
      <c r="I27" s="136"/>
      <c r="J27" s="136"/>
    </row>
    <row r="28" s="73" customFormat="1" ht="49.5" spans="1:10">
      <c r="A28" s="102" t="str">
        <f>IF(AND(E28=""),"","["&amp;TEXT($B$1,"##")&amp;"-"&amp;TEXT(ROW()-9-COUNTBLANK($E$8:E27)+1,"##")&amp;"]")</f>
        <v>[TC_KM-20]</v>
      </c>
      <c r="B28" s="114" t="s">
        <v>363</v>
      </c>
      <c r="C28" s="115" t="s">
        <v>364</v>
      </c>
      <c r="D28" s="116" t="s">
        <v>365</v>
      </c>
      <c r="E28" s="115" t="s">
        <v>366</v>
      </c>
      <c r="F28" s="109" t="s">
        <v>6</v>
      </c>
      <c r="G28" s="102">
        <f ca="1" t="shared" si="0"/>
        <v>45955</v>
      </c>
      <c r="H28" s="113" t="str">
        <f>$B$3</f>
        <v>Nguyễn Thị Bích Ngọc</v>
      </c>
      <c r="I28" s="132"/>
      <c r="J28" s="132"/>
    </row>
    <row r="29" s="73" customFormat="1" ht="76.5" customHeight="1" spans="1:10">
      <c r="A29" s="102" t="str">
        <f>IF(AND(E29=""),"","["&amp;TEXT($B$1,"##")&amp;"-"&amp;TEXT(ROW()-9-COUNTBLANK($E$8:E28)+1,"##")&amp;"]")</f>
        <v>[TC_KM-21]</v>
      </c>
      <c r="B29" s="114" t="s">
        <v>367</v>
      </c>
      <c r="C29" s="115" t="s">
        <v>368</v>
      </c>
      <c r="D29" s="116" t="s">
        <v>369</v>
      </c>
      <c r="E29" s="115" t="s">
        <v>370</v>
      </c>
      <c r="F29" s="109" t="s">
        <v>6</v>
      </c>
      <c r="G29" s="102">
        <f ca="1" t="shared" si="0"/>
        <v>45955</v>
      </c>
      <c r="H29" s="113" t="str">
        <f>$B$3</f>
        <v>Nguyễn Thị Bích Ngọc</v>
      </c>
      <c r="I29" s="132"/>
      <c r="J29" s="132"/>
    </row>
    <row r="30" s="73" customFormat="1" ht="33" spans="1:10">
      <c r="A30" s="117" t="str">
        <f>IF(AND(E30=""),"","["&amp;TEXT($B$1,"##")&amp;"-"&amp;TEXT(ROW()-9-COUNTBLANK($E$8:E29)+1,"##")&amp;"]")</f>
        <v>[TC_KM-22]</v>
      </c>
      <c r="B30" s="114" t="s">
        <v>371</v>
      </c>
      <c r="C30" s="115" t="s">
        <v>372</v>
      </c>
      <c r="D30" s="116" t="s">
        <v>373</v>
      </c>
      <c r="E30" s="115" t="s">
        <v>374</v>
      </c>
      <c r="F30" s="109" t="s">
        <v>6</v>
      </c>
      <c r="G30" s="102">
        <f ca="1" t="shared" si="0"/>
        <v>45955</v>
      </c>
      <c r="H30" s="113" t="str">
        <f>$B$3</f>
        <v>Nguyễn Thị Bích Ngọc</v>
      </c>
      <c r="I30" s="132"/>
      <c r="J30" s="132"/>
    </row>
    <row r="31" s="73" customFormat="1" customHeight="1" spans="1:9">
      <c r="A31" s="118"/>
      <c r="B31" s="118"/>
      <c r="C31" s="118"/>
      <c r="D31" s="118"/>
      <c r="E31" s="118"/>
      <c r="F31" s="118"/>
      <c r="G31" s="118"/>
      <c r="H31" s="118"/>
      <c r="I31" s="118"/>
    </row>
    <row r="32" s="73" customFormat="1" spans="1:8">
      <c r="A32" s="118"/>
      <c r="B32" s="119"/>
      <c r="C32" s="119"/>
      <c r="D32" s="120"/>
      <c r="E32" s="119"/>
      <c r="F32" s="118"/>
      <c r="G32" s="121"/>
      <c r="H32" s="118"/>
    </row>
    <row r="33" s="73" customFormat="1" ht="51" customHeight="1" spans="1:8">
      <c r="A33" s="118"/>
      <c r="B33" s="119"/>
      <c r="C33" s="119"/>
      <c r="D33" s="120"/>
      <c r="E33" s="119"/>
      <c r="F33" s="118"/>
      <c r="G33" s="121"/>
      <c r="H33" s="118"/>
    </row>
    <row r="34" s="73" customFormat="1" spans="1:8">
      <c r="A34" s="118"/>
      <c r="B34" s="119"/>
      <c r="C34" s="119"/>
      <c r="D34" s="120"/>
      <c r="E34" s="119"/>
      <c r="F34" s="118"/>
      <c r="G34" s="121"/>
      <c r="H34" s="118"/>
    </row>
    <row r="35" s="73" customFormat="1" customHeight="1" spans="1:9">
      <c r="A35" s="122"/>
      <c r="B35" s="122"/>
      <c r="C35" s="122"/>
      <c r="D35" s="122"/>
      <c r="E35" s="122"/>
      <c r="F35" s="122"/>
      <c r="G35" s="122"/>
      <c r="H35" s="122"/>
      <c r="I35" s="122"/>
    </row>
    <row r="36" s="73" customFormat="1" spans="1:9">
      <c r="A36" s="118"/>
      <c r="B36" s="119"/>
      <c r="C36" s="119"/>
      <c r="D36" s="120"/>
      <c r="E36" s="119"/>
      <c r="F36" s="118"/>
      <c r="G36" s="121"/>
      <c r="H36" s="118"/>
      <c r="I36" s="122"/>
    </row>
    <row r="37" s="73" customFormat="1" ht="76.5" customHeight="1" spans="1:8">
      <c r="A37" s="118"/>
      <c r="B37" s="119"/>
      <c r="C37" s="119"/>
      <c r="D37" s="120"/>
      <c r="E37" s="119"/>
      <c r="F37" s="118"/>
      <c r="G37" s="121"/>
      <c r="H37" s="118"/>
    </row>
    <row r="38" s="73" customFormat="1" spans="1:8">
      <c r="A38" s="118"/>
      <c r="B38" s="119"/>
      <c r="C38" s="119"/>
      <c r="D38" s="120"/>
      <c r="E38" s="123"/>
      <c r="F38" s="118"/>
      <c r="G38" s="121"/>
      <c r="H38" s="118"/>
    </row>
    <row r="39" s="73" customFormat="1" spans="1:8">
      <c r="A39" s="118"/>
      <c r="B39" s="123"/>
      <c r="C39" s="119"/>
      <c r="D39" s="120"/>
      <c r="E39" s="119"/>
      <c r="F39" s="118"/>
      <c r="G39" s="121"/>
      <c r="H39" s="118"/>
    </row>
    <row r="40" s="73" customFormat="1" spans="1:8">
      <c r="A40" s="118"/>
      <c r="B40" s="123"/>
      <c r="C40" s="119"/>
      <c r="D40" s="120"/>
      <c r="E40" s="123"/>
      <c r="F40" s="118"/>
      <c r="G40" s="121"/>
      <c r="H40" s="118"/>
    </row>
    <row r="41" s="73" customFormat="1" spans="1:8">
      <c r="A41" s="118"/>
      <c r="B41" s="123"/>
      <c r="C41" s="119"/>
      <c r="D41" s="120"/>
      <c r="E41" s="123"/>
      <c r="F41" s="118"/>
      <c r="G41" s="121"/>
      <c r="H41" s="118"/>
    </row>
    <row r="42" s="73" customFormat="1" spans="1:8">
      <c r="A42" s="118"/>
      <c r="B42" s="123"/>
      <c r="C42" s="119"/>
      <c r="D42" s="120"/>
      <c r="E42" s="123"/>
      <c r="F42" s="118"/>
      <c r="G42" s="121"/>
      <c r="H42" s="118"/>
    </row>
    <row r="43" s="73" customFormat="1" ht="51" customHeight="1" spans="1:8">
      <c r="A43" s="118"/>
      <c r="B43" s="123"/>
      <c r="C43" s="119"/>
      <c r="D43" s="120"/>
      <c r="E43" s="123"/>
      <c r="F43" s="118"/>
      <c r="G43" s="121"/>
      <c r="H43" s="118"/>
    </row>
    <row r="44" s="73" customFormat="1" spans="1:8">
      <c r="A44" s="118"/>
      <c r="B44" s="123"/>
      <c r="C44" s="119"/>
      <c r="D44" s="120"/>
      <c r="E44" s="123"/>
      <c r="F44" s="118"/>
      <c r="G44" s="121"/>
      <c r="H44" s="118"/>
    </row>
    <row r="45" s="73" customFormat="1" spans="1:8">
      <c r="A45" s="118"/>
      <c r="B45" s="123"/>
      <c r="C45" s="119"/>
      <c r="D45" s="120"/>
      <c r="E45" s="123"/>
      <c r="F45" s="118"/>
      <c r="G45" s="121"/>
      <c r="H45" s="118"/>
    </row>
    <row r="46" s="73" customFormat="1" spans="1:8">
      <c r="A46" s="118"/>
      <c r="B46" s="123"/>
      <c r="C46" s="119"/>
      <c r="D46" s="120"/>
      <c r="E46" s="123"/>
      <c r="F46" s="118"/>
      <c r="G46" s="121"/>
      <c r="H46" s="118"/>
    </row>
    <row r="47" s="73" customFormat="1" spans="1:8">
      <c r="A47" s="118"/>
      <c r="B47" s="123"/>
      <c r="C47" s="119"/>
      <c r="D47" s="120"/>
      <c r="E47" s="123"/>
      <c r="F47" s="118"/>
      <c r="G47" s="121"/>
      <c r="H47" s="118"/>
    </row>
    <row r="48" s="73" customFormat="1" spans="1:8">
      <c r="A48" s="118"/>
      <c r="B48" s="123"/>
      <c r="C48" s="123"/>
      <c r="D48" s="120"/>
      <c r="E48" s="123"/>
      <c r="F48" s="118"/>
      <c r="G48" s="121"/>
      <c r="H48" s="118"/>
    </row>
    <row r="49" s="73" customFormat="1" spans="1:8">
      <c r="A49" s="118"/>
      <c r="C49" s="123"/>
      <c r="D49" s="120"/>
      <c r="E49" s="123"/>
      <c r="F49" s="118"/>
      <c r="G49" s="121"/>
      <c r="H49" s="118"/>
    </row>
    <row r="50" s="73" customFormat="1" spans="1:8">
      <c r="A50" s="118"/>
      <c r="B50" s="123"/>
      <c r="C50" s="123"/>
      <c r="D50" s="120"/>
      <c r="E50" s="123"/>
      <c r="F50" s="118"/>
      <c r="G50" s="121"/>
      <c r="H50" s="118"/>
    </row>
    <row r="51" s="73" customFormat="1" spans="1:9">
      <c r="A51" s="124"/>
      <c r="B51" s="124"/>
      <c r="C51" s="124"/>
      <c r="D51" s="124"/>
      <c r="E51" s="124"/>
      <c r="F51" s="124"/>
      <c r="G51" s="124"/>
      <c r="H51" s="124"/>
      <c r="I51" s="124"/>
    </row>
    <row r="52" s="73" customFormat="1" spans="1:9">
      <c r="A52" s="125"/>
      <c r="B52" s="123"/>
      <c r="C52" s="123"/>
      <c r="D52" s="120"/>
      <c r="E52" s="123"/>
      <c r="F52" s="125"/>
      <c r="G52" s="126"/>
      <c r="H52" s="118"/>
      <c r="I52" s="72"/>
    </row>
    <row r="53" s="73" customFormat="1" ht="99" customHeight="1" spans="1:9">
      <c r="A53" s="125"/>
      <c r="B53" s="123"/>
      <c r="C53" s="123"/>
      <c r="D53" s="120"/>
      <c r="E53" s="123"/>
      <c r="F53" s="125"/>
      <c r="G53" s="126"/>
      <c r="H53" s="118"/>
      <c r="I53" s="72"/>
    </row>
    <row r="54" s="73" customFormat="1" spans="1:9">
      <c r="A54" s="125"/>
      <c r="B54" s="123"/>
      <c r="C54" s="123"/>
      <c r="D54" s="120"/>
      <c r="E54" s="123"/>
      <c r="F54" s="125"/>
      <c r="G54" s="126"/>
      <c r="H54" s="118"/>
      <c r="I54" s="72"/>
    </row>
    <row r="55" s="73" customFormat="1" spans="1:9">
      <c r="A55" s="125"/>
      <c r="B55" s="123"/>
      <c r="C55" s="123"/>
      <c r="D55" s="120"/>
      <c r="E55" s="123"/>
      <c r="F55" s="125"/>
      <c r="G55" s="126"/>
      <c r="H55" s="118"/>
      <c r="I55" s="72"/>
    </row>
    <row r="56" s="73" customFormat="1" spans="1:9">
      <c r="A56" s="125"/>
      <c r="B56" s="123"/>
      <c r="C56" s="123"/>
      <c r="D56" s="120"/>
      <c r="E56" s="123"/>
      <c r="F56" s="125"/>
      <c r="G56" s="126"/>
      <c r="H56" s="118"/>
      <c r="I56" s="72"/>
    </row>
    <row r="57" s="73" customFormat="1" spans="1:9">
      <c r="A57" s="125"/>
      <c r="B57" s="123"/>
      <c r="C57" s="123"/>
      <c r="D57" s="120"/>
      <c r="E57" s="123"/>
      <c r="F57" s="125"/>
      <c r="G57" s="126"/>
      <c r="H57" s="118"/>
      <c r="I57" s="72"/>
    </row>
    <row r="58" s="73" customFormat="1" spans="1:9">
      <c r="A58" s="125"/>
      <c r="B58" s="123"/>
      <c r="C58" s="123"/>
      <c r="D58" s="120"/>
      <c r="E58" s="123"/>
      <c r="F58" s="125"/>
      <c r="G58" s="126"/>
      <c r="H58" s="118"/>
      <c r="I58" s="72"/>
    </row>
    <row r="59" s="73" customFormat="1" spans="1:9">
      <c r="A59" s="125"/>
      <c r="B59" s="123"/>
      <c r="C59" s="123"/>
      <c r="D59" s="120"/>
      <c r="E59" s="123"/>
      <c r="F59" s="125"/>
      <c r="G59" s="126"/>
      <c r="H59" s="118"/>
      <c r="I59" s="72"/>
    </row>
    <row r="60" s="73" customFormat="1" spans="1:9">
      <c r="A60" s="125"/>
      <c r="B60" s="123"/>
      <c r="C60" s="123"/>
      <c r="D60" s="120"/>
      <c r="E60" s="123"/>
      <c r="F60" s="125"/>
      <c r="G60" s="126"/>
      <c r="H60" s="118"/>
      <c r="I60" s="72"/>
    </row>
    <row r="61" s="73" customFormat="1" spans="1:9">
      <c r="A61" s="125"/>
      <c r="B61" s="123"/>
      <c r="C61" s="123"/>
      <c r="D61" s="120"/>
      <c r="E61" s="123"/>
      <c r="F61" s="125"/>
      <c r="G61" s="126"/>
      <c r="H61" s="118"/>
      <c r="I61" s="72"/>
    </row>
    <row r="62" s="73" customFormat="1" spans="1:9">
      <c r="A62" s="125"/>
      <c r="B62" s="123"/>
      <c r="C62" s="123"/>
      <c r="D62" s="120"/>
      <c r="E62" s="123"/>
      <c r="F62" s="125"/>
      <c r="G62" s="126"/>
      <c r="H62" s="118"/>
      <c r="I62" s="72"/>
    </row>
    <row r="63" s="73" customFormat="1" spans="1:9">
      <c r="A63" s="125"/>
      <c r="B63" s="123"/>
      <c r="C63" s="123"/>
      <c r="D63" s="123"/>
      <c r="E63" s="123"/>
      <c r="F63" s="125"/>
      <c r="G63" s="126"/>
      <c r="H63" s="118"/>
      <c r="I63" s="72"/>
    </row>
    <row r="64" s="73" customFormat="1" spans="1:5">
      <c r="A64" s="125"/>
      <c r="B64" s="123"/>
      <c r="C64" s="123"/>
      <c r="D64" s="123"/>
      <c r="E64" s="123"/>
    </row>
    <row r="65" s="73" customFormat="1" spans="1:5">
      <c r="A65" s="125"/>
      <c r="B65" s="123"/>
      <c r="C65" s="123"/>
      <c r="D65" s="123"/>
      <c r="E65" s="123"/>
    </row>
    <row r="66" s="73" customFormat="1" spans="1:5">
      <c r="A66" s="125"/>
      <c r="B66" s="123"/>
      <c r="C66" s="123"/>
      <c r="D66" s="123"/>
      <c r="E66" s="123"/>
    </row>
    <row r="67" s="73" customFormat="1" spans="1:5">
      <c r="A67" s="125"/>
      <c r="B67" s="123"/>
      <c r="C67" s="123"/>
      <c r="D67" s="123"/>
      <c r="E67" s="123"/>
    </row>
    <row r="68" spans="2:5">
      <c r="B68" s="145"/>
      <c r="C68" s="145"/>
      <c r="D68" s="145"/>
      <c r="E68" s="145"/>
    </row>
    <row r="69" spans="2:5">
      <c r="B69" s="145"/>
      <c r="C69" s="145"/>
      <c r="D69" s="145"/>
      <c r="E69" s="145"/>
    </row>
    <row r="70" spans="2:5">
      <c r="B70" s="145"/>
      <c r="C70" s="145"/>
      <c r="D70" s="145"/>
      <c r="E70" s="145"/>
    </row>
    <row r="71" spans="2:5">
      <c r="B71" s="145"/>
      <c r="C71" s="145"/>
      <c r="D71" s="145"/>
      <c r="E71" s="145"/>
    </row>
    <row r="72" spans="2:5">
      <c r="B72" s="145"/>
      <c r="C72" s="145"/>
      <c r="D72" s="145"/>
      <c r="E72" s="145"/>
    </row>
    <row r="73" spans="2:5">
      <c r="B73" s="145"/>
      <c r="C73" s="145"/>
      <c r="D73" s="145"/>
      <c r="E73" s="145"/>
    </row>
    <row r="74" spans="2:5">
      <c r="B74" s="145"/>
      <c r="C74" s="145"/>
      <c r="D74" s="145"/>
      <c r="E74" s="145"/>
    </row>
    <row r="75" spans="2:5">
      <c r="B75" s="145"/>
      <c r="C75" s="145"/>
      <c r="D75" s="145"/>
      <c r="E75" s="145"/>
    </row>
    <row r="76" spans="2:5">
      <c r="B76" s="145"/>
      <c r="C76" s="145"/>
      <c r="D76" s="145"/>
      <c r="E76" s="145"/>
    </row>
    <row r="77" spans="2:5">
      <c r="B77" s="145"/>
      <c r="C77" s="145"/>
      <c r="D77" s="145"/>
      <c r="E77" s="145"/>
    </row>
  </sheetData>
  <mergeCells count="6">
    <mergeCell ref="B1:E1"/>
    <mergeCell ref="B2:E2"/>
    <mergeCell ref="B3:E3"/>
    <mergeCell ref="A31:I31"/>
    <mergeCell ref="A35:I35"/>
    <mergeCell ref="A51:I51"/>
  </mergeCells>
  <conditionalFormatting sqref="F33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6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1:F8">
    <cfRule type="cellIs" dxfId="3" priority="24" operator="equal">
      <formula>"Pass"</formula>
    </cfRule>
    <cfRule type="cellIs" dxfId="2" priority="23" operator="equal">
      <formula>Fail</formula>
    </cfRule>
    <cfRule type="cellIs" dxfId="1" priority="22" operator="equal">
      <formula>"Fail"</formula>
    </cfRule>
    <cfRule type="cellIs" dxfId="0" priority="21" operator="equal">
      <formula>"N/A"</formula>
    </cfRule>
  </conditionalFormatting>
  <conditionalFormatting sqref="F9:F30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52:F63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37:F50 F34 F32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2">
    <dataValidation type="list" allowBlank="1" showErrorMessage="1" sqref="O14 F9:F50 F52:F63">
      <formula1>"Pass,Fail,N/A,Untested"</formula1>
    </dataValidation>
    <dataValidation type="list" allowBlank="1" showErrorMessage="1" sqref="F1:H2">
      <formula1>$J$1:$J$5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"/>
  <sheetViews>
    <sheetView zoomScale="88" zoomScaleNormal="88" topLeftCell="A9" workbookViewId="0">
      <selection activeCell="F7" sqref="F7"/>
    </sheetView>
  </sheetViews>
  <sheetFormatPr defaultColWidth="9.14285714285714" defaultRowHeight="15" outlineLevelCol="7"/>
  <cols>
    <col min="2" max="2" width="13.8571428571429" customWidth="1"/>
    <col min="3" max="3" width="20.1428571428571" customWidth="1"/>
    <col min="4" max="4" width="13.1428571428571"/>
    <col min="5" max="5" width="14.5714285714286" customWidth="1"/>
    <col min="8" max="8" width="52.4285714285714" customWidth="1"/>
  </cols>
  <sheetData>
    <row r="1" ht="25.5" spans="1:8">
      <c r="A1" s="36"/>
      <c r="B1" s="37" t="s">
        <v>375</v>
      </c>
      <c r="C1" s="38"/>
      <c r="D1" s="38"/>
      <c r="E1" s="38"/>
      <c r="F1" s="38"/>
      <c r="G1" s="38"/>
      <c r="H1" s="38"/>
    </row>
    <row r="2" spans="1:8">
      <c r="A2" s="39"/>
      <c r="B2" s="39"/>
      <c r="C2" s="36"/>
      <c r="D2" s="36"/>
      <c r="E2" s="36"/>
      <c r="F2" s="36"/>
      <c r="G2" s="36"/>
      <c r="H2" s="40"/>
    </row>
    <row r="3" spans="1:8">
      <c r="A3" s="36"/>
      <c r="B3" s="41" t="s">
        <v>376</v>
      </c>
      <c r="C3" s="42" t="s">
        <v>377</v>
      </c>
      <c r="D3" s="7"/>
      <c r="E3" s="43" t="s">
        <v>378</v>
      </c>
      <c r="F3" s="7"/>
      <c r="G3" s="44" t="s">
        <v>5</v>
      </c>
      <c r="H3" s="7"/>
    </row>
    <row r="4" spans="1:8">
      <c r="A4" s="36"/>
      <c r="B4" s="41" t="s">
        <v>379</v>
      </c>
      <c r="C4" s="42" t="s">
        <v>377</v>
      </c>
      <c r="D4" s="7"/>
      <c r="E4" s="43" t="s">
        <v>380</v>
      </c>
      <c r="F4" s="7"/>
      <c r="G4" s="42"/>
      <c r="H4" s="7"/>
    </row>
    <row r="5" spans="1:8">
      <c r="A5" s="36"/>
      <c r="B5" s="45" t="s">
        <v>381</v>
      </c>
      <c r="C5" s="42"/>
      <c r="D5" s="7"/>
      <c r="E5" s="43" t="s">
        <v>382</v>
      </c>
      <c r="F5" s="7"/>
      <c r="G5" s="46"/>
      <c r="H5" s="7"/>
    </row>
    <row r="6" spans="1:8">
      <c r="A6" s="39"/>
      <c r="B6" s="45" t="s">
        <v>383</v>
      </c>
      <c r="C6" s="47"/>
      <c r="D6" s="6"/>
      <c r="E6" s="6"/>
      <c r="F6" s="6"/>
      <c r="G6" s="6"/>
      <c r="H6" s="7"/>
    </row>
    <row r="7" spans="1:8">
      <c r="A7" s="39"/>
      <c r="B7" s="48"/>
      <c r="C7" s="49"/>
      <c r="D7" s="36"/>
      <c r="E7" s="36"/>
      <c r="F7" s="36"/>
      <c r="G7" s="36"/>
      <c r="H7" s="40"/>
    </row>
    <row r="9" spans="1:8">
      <c r="A9" s="50"/>
      <c r="B9" s="51" t="s">
        <v>384</v>
      </c>
      <c r="C9" s="52" t="s">
        <v>385</v>
      </c>
      <c r="D9" s="52" t="s">
        <v>6</v>
      </c>
      <c r="E9" s="52" t="s">
        <v>7</v>
      </c>
      <c r="F9" s="52" t="s">
        <v>8</v>
      </c>
      <c r="G9" s="52" t="s">
        <v>9</v>
      </c>
      <c r="H9" s="52" t="s">
        <v>386</v>
      </c>
    </row>
    <row r="10" spans="1:8">
      <c r="A10" s="50"/>
      <c r="B10" s="53">
        <v>1</v>
      </c>
      <c r="C10" s="54" t="s">
        <v>387</v>
      </c>
      <c r="D10" s="53">
        <v>10</v>
      </c>
      <c r="E10" s="53">
        <v>0</v>
      </c>
      <c r="F10" s="53">
        <v>0</v>
      </c>
      <c r="G10" s="53">
        <v>0</v>
      </c>
      <c r="H10" s="53">
        <v>10</v>
      </c>
    </row>
    <row r="11" spans="1:8">
      <c r="A11" s="50"/>
      <c r="B11" s="53">
        <v>2</v>
      </c>
      <c r="C11" s="55" t="s">
        <v>388</v>
      </c>
      <c r="D11" s="53">
        <v>33</v>
      </c>
      <c r="E11" s="53">
        <v>5</v>
      </c>
      <c r="F11" s="53">
        <v>0</v>
      </c>
      <c r="G11" s="53">
        <v>0</v>
      </c>
      <c r="H11" s="53">
        <v>38</v>
      </c>
    </row>
    <row r="12" spans="1:8">
      <c r="A12" s="50"/>
      <c r="B12" s="53">
        <v>3</v>
      </c>
      <c r="C12" s="55" t="s">
        <v>389</v>
      </c>
      <c r="D12" s="53">
        <v>5</v>
      </c>
      <c r="E12" s="53">
        <v>1</v>
      </c>
      <c r="F12" s="53">
        <v>0</v>
      </c>
      <c r="G12" s="53">
        <v>0</v>
      </c>
      <c r="H12" s="53">
        <v>6</v>
      </c>
    </row>
    <row r="13" spans="1:8">
      <c r="A13" s="50"/>
      <c r="B13" s="53">
        <v>4</v>
      </c>
      <c r="C13" s="55" t="s">
        <v>390</v>
      </c>
      <c r="D13" s="53">
        <v>15</v>
      </c>
      <c r="E13" s="53">
        <v>2</v>
      </c>
      <c r="F13" s="53">
        <v>0</v>
      </c>
      <c r="G13" s="53">
        <v>0</v>
      </c>
      <c r="H13" s="53">
        <v>17</v>
      </c>
    </row>
    <row r="14" spans="1:8">
      <c r="A14" s="50"/>
      <c r="B14" s="53">
        <v>5</v>
      </c>
      <c r="C14" s="55" t="s">
        <v>391</v>
      </c>
      <c r="D14" s="53">
        <v>11</v>
      </c>
      <c r="E14" s="53">
        <v>0</v>
      </c>
      <c r="F14" s="53">
        <v>1</v>
      </c>
      <c r="G14" s="53">
        <v>0</v>
      </c>
      <c r="H14" s="53">
        <v>12</v>
      </c>
    </row>
    <row r="15" spans="1:8">
      <c r="A15" s="50"/>
      <c r="B15" s="53">
        <v>6</v>
      </c>
      <c r="C15" s="55" t="s">
        <v>392</v>
      </c>
      <c r="D15" s="53">
        <v>3</v>
      </c>
      <c r="E15" s="53">
        <v>0</v>
      </c>
      <c r="F15" s="53">
        <v>1</v>
      </c>
      <c r="G15" s="53">
        <v>4</v>
      </c>
      <c r="H15" s="53">
        <v>8</v>
      </c>
    </row>
    <row r="16" spans="1:8">
      <c r="A16" s="50"/>
      <c r="B16" s="53">
        <v>7</v>
      </c>
      <c r="C16" s="56" t="s">
        <v>393</v>
      </c>
      <c r="D16" s="53">
        <v>3</v>
      </c>
      <c r="E16" s="53">
        <v>0</v>
      </c>
      <c r="F16" s="53">
        <v>2</v>
      </c>
      <c r="G16" s="53">
        <v>5</v>
      </c>
      <c r="H16" s="53">
        <v>10</v>
      </c>
    </row>
    <row r="17" spans="1:8">
      <c r="A17" s="50"/>
      <c r="B17" s="53">
        <v>8</v>
      </c>
      <c r="C17" s="55" t="s">
        <v>394</v>
      </c>
      <c r="D17" s="53">
        <v>19</v>
      </c>
      <c r="E17" s="53">
        <v>0</v>
      </c>
      <c r="F17" s="53">
        <v>1</v>
      </c>
      <c r="G17" s="53">
        <v>0</v>
      </c>
      <c r="H17" s="53">
        <v>20</v>
      </c>
    </row>
    <row r="18" spans="1:8">
      <c r="A18" s="50"/>
      <c r="B18" s="53">
        <v>9</v>
      </c>
      <c r="C18" s="56" t="s">
        <v>395</v>
      </c>
      <c r="D18" s="53">
        <v>23</v>
      </c>
      <c r="E18" s="53">
        <v>9</v>
      </c>
      <c r="F18" s="53">
        <v>5</v>
      </c>
      <c r="G18" s="53">
        <v>0</v>
      </c>
      <c r="H18" s="53">
        <v>37</v>
      </c>
    </row>
    <row r="19" spans="1:8">
      <c r="A19" s="50"/>
      <c r="B19" s="53">
        <v>10</v>
      </c>
      <c r="C19" s="56"/>
      <c r="D19" s="53"/>
      <c r="E19" s="53"/>
      <c r="F19" s="53"/>
      <c r="G19" s="53"/>
      <c r="H19" s="53"/>
    </row>
    <row r="20" spans="1:8">
      <c r="A20" s="50"/>
      <c r="B20" s="53">
        <v>11</v>
      </c>
      <c r="C20" s="56"/>
      <c r="D20" s="53"/>
      <c r="E20" s="53"/>
      <c r="F20" s="53"/>
      <c r="G20" s="53"/>
      <c r="H20" s="53"/>
    </row>
    <row r="21" spans="1:8">
      <c r="A21" s="50"/>
      <c r="B21" s="57"/>
      <c r="C21" s="58" t="s">
        <v>396</v>
      </c>
      <c r="D21" s="59">
        <f t="shared" ref="D21:H21" si="0">SUM(D10:D18)</f>
        <v>122</v>
      </c>
      <c r="E21" s="59">
        <f t="shared" si="0"/>
        <v>17</v>
      </c>
      <c r="F21" s="59">
        <f t="shared" si="0"/>
        <v>10</v>
      </c>
      <c r="G21" s="59">
        <f t="shared" si="0"/>
        <v>9</v>
      </c>
      <c r="H21" s="59">
        <f t="shared" si="0"/>
        <v>158</v>
      </c>
    </row>
    <row r="24" spans="3:3">
      <c r="C24" s="60" t="s">
        <v>397</v>
      </c>
    </row>
    <row r="25" spans="3:3">
      <c r="C25" s="60" t="s">
        <v>398</v>
      </c>
    </row>
    <row r="26" spans="1:8">
      <c r="A26" s="36"/>
      <c r="B26" s="36"/>
      <c r="C26" s="36"/>
      <c r="D26" s="36"/>
      <c r="E26" s="36"/>
      <c r="F26" s="36"/>
      <c r="G26" s="36"/>
      <c r="H26" s="36"/>
    </row>
    <row r="27" spans="1:8">
      <c r="A27" s="36"/>
      <c r="B27" s="36"/>
      <c r="C27" s="36"/>
      <c r="D27" s="36"/>
      <c r="E27" s="36"/>
      <c r="F27" s="36"/>
      <c r="G27" s="36"/>
      <c r="H27" s="36"/>
    </row>
    <row r="28" spans="1:8">
      <c r="A28" s="36"/>
      <c r="B28" s="36"/>
      <c r="C28" s="36"/>
      <c r="D28" s="36"/>
      <c r="E28" s="36"/>
      <c r="F28" s="36"/>
      <c r="G28" s="36"/>
      <c r="H28" s="36"/>
    </row>
    <row r="29" spans="1:8">
      <c r="A29" s="36"/>
      <c r="B29" s="36"/>
      <c r="C29" s="36"/>
      <c r="D29" s="36"/>
      <c r="E29" s="36"/>
      <c r="F29" s="36"/>
      <c r="G29" s="36"/>
      <c r="H29" s="36"/>
    </row>
    <row r="30" spans="1:8">
      <c r="A30" s="36"/>
      <c r="B30" s="36"/>
      <c r="C30" s="36"/>
      <c r="D30" s="36"/>
      <c r="E30" s="36"/>
      <c r="F30" s="36"/>
      <c r="G30" s="36"/>
      <c r="H30" s="36"/>
    </row>
    <row r="31" spans="1:8">
      <c r="A31" s="36"/>
      <c r="B31" s="36"/>
      <c r="C31" s="36"/>
      <c r="D31" s="36"/>
      <c r="E31" s="36"/>
      <c r="F31" s="36"/>
      <c r="G31" s="36"/>
      <c r="H31" s="36"/>
    </row>
    <row r="32" spans="1:8">
      <c r="A32" s="36"/>
      <c r="B32" s="36"/>
      <c r="C32" s="36"/>
      <c r="D32" s="36"/>
      <c r="E32" s="36"/>
      <c r="F32" s="36"/>
      <c r="G32" s="36"/>
      <c r="H32" s="36"/>
    </row>
    <row r="33" spans="1:8">
      <c r="A33" s="36"/>
      <c r="B33" s="36"/>
      <c r="C33" s="36"/>
      <c r="D33" s="36"/>
      <c r="E33" s="36"/>
      <c r="F33" s="36"/>
      <c r="G33" s="36"/>
      <c r="H33" s="36"/>
    </row>
    <row r="34" spans="1:8">
      <c r="A34" s="36"/>
      <c r="B34" s="36"/>
      <c r="C34" s="36"/>
      <c r="D34" s="36"/>
      <c r="E34" s="36"/>
      <c r="F34" s="36"/>
      <c r="G34" s="36"/>
      <c r="H34" s="36"/>
    </row>
    <row r="35" spans="1:8">
      <c r="A35" s="36"/>
      <c r="B35" s="36"/>
      <c r="C35" s="36"/>
      <c r="D35" s="36"/>
      <c r="E35" s="36"/>
      <c r="F35" s="36"/>
      <c r="G35" s="36"/>
      <c r="H35" s="36"/>
    </row>
    <row r="36" spans="1:8">
      <c r="A36" s="36"/>
      <c r="B36" s="36"/>
      <c r="C36" s="36"/>
      <c r="D36" s="36"/>
      <c r="E36" s="36"/>
      <c r="F36" s="36"/>
      <c r="G36" s="36"/>
      <c r="H36" s="36"/>
    </row>
    <row r="37" spans="1:8">
      <c r="A37" s="36"/>
      <c r="B37" s="36"/>
      <c r="C37" s="36"/>
      <c r="D37" s="36"/>
      <c r="E37" s="36"/>
      <c r="F37" s="36"/>
      <c r="G37" s="36"/>
      <c r="H37" s="36"/>
    </row>
    <row r="38" spans="1:8">
      <c r="A38" s="36"/>
      <c r="B38" s="36"/>
      <c r="C38" s="36"/>
      <c r="D38" s="36"/>
      <c r="E38" s="36"/>
      <c r="F38" s="36"/>
      <c r="G38" s="36"/>
      <c r="H38" s="36"/>
    </row>
    <row r="39" spans="1:8">
      <c r="A39" s="36"/>
      <c r="B39" s="36"/>
      <c r="C39" s="36"/>
      <c r="D39" s="36"/>
      <c r="E39" s="36"/>
      <c r="F39" s="36"/>
      <c r="G39" s="36"/>
      <c r="H39" s="36"/>
    </row>
    <row r="40" spans="1:8">
      <c r="A40" s="36"/>
      <c r="B40" s="36"/>
      <c r="C40" s="36"/>
      <c r="D40" s="36"/>
      <c r="E40" s="36"/>
      <c r="F40" s="36"/>
      <c r="G40" s="36"/>
      <c r="H40" s="36"/>
    </row>
    <row r="41" spans="1:8">
      <c r="A41" s="36"/>
      <c r="B41" s="36"/>
      <c r="C41" s="36"/>
      <c r="D41" s="36"/>
      <c r="E41" s="36"/>
      <c r="F41" s="36"/>
      <c r="G41" s="36"/>
      <c r="H41" s="36"/>
    </row>
    <row r="42" spans="1:8">
      <c r="A42" s="36"/>
      <c r="B42" s="36"/>
      <c r="C42" s="36"/>
      <c r="D42" s="36"/>
      <c r="E42" s="36"/>
      <c r="F42" s="36"/>
      <c r="G42" s="36"/>
      <c r="H42" s="36"/>
    </row>
    <row r="43" spans="1:8">
      <c r="A43" s="36"/>
      <c r="B43" s="36"/>
      <c r="C43" s="36"/>
      <c r="D43" s="36"/>
      <c r="E43" s="36"/>
      <c r="F43" s="36"/>
      <c r="G43" s="36"/>
      <c r="H43" s="36"/>
    </row>
    <row r="44" spans="1:8">
      <c r="A44" s="36"/>
      <c r="B44" s="36"/>
      <c r="C44" s="36"/>
      <c r="D44" s="36"/>
      <c r="E44" s="36"/>
      <c r="F44" s="36"/>
      <c r="G44" s="36"/>
      <c r="H44" s="36"/>
    </row>
    <row r="45" spans="1:8">
      <c r="A45" s="36"/>
      <c r="B45" s="36"/>
      <c r="C45" s="36"/>
      <c r="D45" s="36"/>
      <c r="E45" s="36"/>
      <c r="F45" s="36"/>
      <c r="G45" s="36"/>
      <c r="H45" s="36"/>
    </row>
    <row r="46" spans="1:8">
      <c r="A46" s="36"/>
      <c r="B46" s="36"/>
      <c r="C46" s="36"/>
      <c r="D46" s="36"/>
      <c r="E46" s="36"/>
      <c r="F46" s="36"/>
      <c r="G46" s="36"/>
      <c r="H46" s="36"/>
    </row>
    <row r="47" spans="1:8">
      <c r="A47" s="36"/>
      <c r="B47" s="36"/>
      <c r="C47" s="36"/>
      <c r="D47" s="36"/>
      <c r="E47" s="36"/>
      <c r="F47" s="36"/>
      <c r="G47" s="36"/>
      <c r="H47" s="36"/>
    </row>
    <row r="48" spans="1:8">
      <c r="A48" s="36"/>
      <c r="B48" s="36"/>
      <c r="C48" s="36"/>
      <c r="D48" s="36"/>
      <c r="E48" s="36"/>
      <c r="F48" s="36"/>
      <c r="G48" s="36"/>
      <c r="H48" s="36"/>
    </row>
    <row r="49" spans="1:8">
      <c r="A49" s="36"/>
      <c r="B49" s="36"/>
      <c r="C49" s="36"/>
      <c r="D49" s="36"/>
      <c r="E49" s="36"/>
      <c r="F49" s="36"/>
      <c r="G49" s="36"/>
      <c r="H49" s="36"/>
    </row>
    <row r="50" spans="1:8">
      <c r="A50" s="36"/>
      <c r="B50" s="36"/>
      <c r="C50" s="36"/>
      <c r="D50" s="36"/>
      <c r="E50" s="36"/>
      <c r="F50" s="36"/>
      <c r="G50" s="36"/>
      <c r="H50" s="36"/>
    </row>
    <row r="51" spans="1:8">
      <c r="A51" s="36"/>
      <c r="B51" s="36"/>
      <c r="C51" s="36"/>
      <c r="D51" s="36"/>
      <c r="E51" s="36"/>
      <c r="F51" s="36"/>
      <c r="G51" s="36"/>
      <c r="H51" s="36"/>
    </row>
    <row r="52" spans="1:8">
      <c r="A52" s="36"/>
      <c r="B52" s="36"/>
      <c r="C52" s="36"/>
      <c r="D52" s="36"/>
      <c r="E52" s="36"/>
      <c r="F52" s="36"/>
      <c r="G52" s="36"/>
      <c r="H52" s="36"/>
    </row>
    <row r="53" spans="1:8">
      <c r="A53" s="36"/>
      <c r="B53" s="36"/>
      <c r="C53" s="36"/>
      <c r="D53" s="36"/>
      <c r="E53" s="36"/>
      <c r="F53" s="36"/>
      <c r="G53" s="36"/>
      <c r="H53" s="36"/>
    </row>
    <row r="54" spans="1:8">
      <c r="A54" s="36"/>
      <c r="B54" s="36"/>
      <c r="C54" s="36"/>
      <c r="D54" s="36"/>
      <c r="E54" s="36"/>
      <c r="F54" s="36"/>
      <c r="G54" s="36"/>
      <c r="H54" s="36"/>
    </row>
    <row r="55" spans="1:8">
      <c r="A55" s="36"/>
      <c r="B55" s="36"/>
      <c r="C55" s="36"/>
      <c r="D55" s="36"/>
      <c r="E55" s="36"/>
      <c r="F55" s="36"/>
      <c r="G55" s="36"/>
      <c r="H55" s="36"/>
    </row>
    <row r="56" spans="1:8">
      <c r="A56" s="36"/>
      <c r="B56" s="36"/>
      <c r="C56" s="36"/>
      <c r="D56" s="36"/>
      <c r="E56" s="36"/>
      <c r="F56" s="36"/>
      <c r="G56" s="36"/>
      <c r="H56" s="36"/>
    </row>
    <row r="57" spans="1:8">
      <c r="A57" s="36"/>
      <c r="B57" s="36"/>
      <c r="C57" s="36"/>
      <c r="D57" s="36"/>
      <c r="E57" s="36"/>
      <c r="F57" s="36"/>
      <c r="G57" s="36"/>
      <c r="H57" s="36"/>
    </row>
    <row r="58" spans="1:8">
      <c r="A58" s="36"/>
      <c r="B58" s="36"/>
      <c r="C58" s="36"/>
      <c r="D58" s="36"/>
      <c r="E58" s="36"/>
      <c r="F58" s="36"/>
      <c r="G58" s="36"/>
      <c r="H58" s="36"/>
    </row>
    <row r="59" spans="1:8">
      <c r="A59" s="36"/>
      <c r="B59" s="36"/>
      <c r="C59" s="36"/>
      <c r="D59" s="36"/>
      <c r="E59" s="36"/>
      <c r="F59" s="36"/>
      <c r="G59" s="36"/>
      <c r="H59" s="36"/>
    </row>
    <row r="60" spans="1:8">
      <c r="A60" s="36"/>
      <c r="B60" s="36"/>
      <c r="C60" s="36"/>
      <c r="D60" s="36"/>
      <c r="E60" s="36"/>
      <c r="F60" s="36"/>
      <c r="G60" s="36"/>
      <c r="H60" s="36"/>
    </row>
    <row r="61" spans="1:8">
      <c r="A61" s="36"/>
      <c r="B61" s="36"/>
      <c r="C61" s="36"/>
      <c r="D61" s="36"/>
      <c r="E61" s="36"/>
      <c r="F61" s="36"/>
      <c r="G61" s="36"/>
      <c r="H61" s="36"/>
    </row>
    <row r="62" spans="1:8">
      <c r="A62" s="36"/>
      <c r="B62" s="36"/>
      <c r="C62" s="36"/>
      <c r="D62" s="36"/>
      <c r="E62" s="36"/>
      <c r="F62" s="36"/>
      <c r="G62" s="36"/>
      <c r="H62" s="36"/>
    </row>
    <row r="63" spans="1:8">
      <c r="A63" s="36"/>
      <c r="B63" s="36"/>
      <c r="C63" s="36"/>
      <c r="D63" s="36"/>
      <c r="E63" s="36"/>
      <c r="F63" s="36"/>
      <c r="G63" s="36"/>
      <c r="H63" s="36"/>
    </row>
    <row r="64" spans="1:8">
      <c r="A64" s="36"/>
      <c r="B64" s="36"/>
      <c r="C64" s="36"/>
      <c r="D64" s="36"/>
      <c r="E64" s="36"/>
      <c r="F64" s="36"/>
      <c r="G64" s="36"/>
      <c r="H64" s="36"/>
    </row>
    <row r="65" spans="1:8">
      <c r="A65" s="36"/>
      <c r="B65" s="36"/>
      <c r="C65" s="36"/>
      <c r="D65" s="36"/>
      <c r="E65" s="36"/>
      <c r="F65" s="36"/>
      <c r="G65" s="36"/>
      <c r="H65" s="36"/>
    </row>
    <row r="66" spans="1:8">
      <c r="A66" s="36"/>
      <c r="B66" s="36"/>
      <c r="C66" s="36"/>
      <c r="D66" s="36"/>
      <c r="E66" s="36"/>
      <c r="F66" s="36"/>
      <c r="G66" s="36"/>
      <c r="H66" s="36"/>
    </row>
    <row r="67" spans="1:8">
      <c r="A67" s="36"/>
      <c r="B67" s="36"/>
      <c r="C67" s="36"/>
      <c r="D67" s="36"/>
      <c r="E67" s="36"/>
      <c r="F67" s="36"/>
      <c r="G67" s="36"/>
      <c r="H67" s="36"/>
    </row>
    <row r="68" spans="1:8">
      <c r="A68" s="36"/>
      <c r="B68" s="36"/>
      <c r="C68" s="36"/>
      <c r="D68" s="36"/>
      <c r="E68" s="36"/>
      <c r="F68" s="36"/>
      <c r="G68" s="36"/>
      <c r="H68" s="36"/>
    </row>
    <row r="69" spans="1:8">
      <c r="A69" s="36"/>
      <c r="B69" s="36"/>
      <c r="C69" s="36"/>
      <c r="D69" s="36"/>
      <c r="E69" s="36"/>
      <c r="F69" s="36"/>
      <c r="G69" s="36"/>
      <c r="H69" s="36"/>
    </row>
    <row r="70" spans="1:8">
      <c r="A70" s="36"/>
      <c r="B70" s="36"/>
      <c r="C70" s="36"/>
      <c r="D70" s="36"/>
      <c r="E70" s="36"/>
      <c r="F70" s="36"/>
      <c r="G70" s="36"/>
      <c r="H70" s="36"/>
    </row>
    <row r="71" spans="1:8">
      <c r="A71" s="36"/>
      <c r="B71" s="36"/>
      <c r="C71" s="36"/>
      <c r="D71" s="36"/>
      <c r="E71" s="36"/>
      <c r="F71" s="36"/>
      <c r="G71" s="36"/>
      <c r="H71" s="36"/>
    </row>
    <row r="72" spans="1:8">
      <c r="A72" s="36"/>
      <c r="B72" s="36"/>
      <c r="C72" s="36"/>
      <c r="D72" s="36"/>
      <c r="E72" s="36"/>
      <c r="F72" s="36"/>
      <c r="G72" s="36"/>
      <c r="H72" s="36"/>
    </row>
    <row r="73" spans="1:8">
      <c r="A73" s="36"/>
      <c r="B73" s="36"/>
      <c r="C73" s="36"/>
      <c r="D73" s="36"/>
      <c r="E73" s="36"/>
      <c r="F73" s="36"/>
      <c r="G73" s="36"/>
      <c r="H73" s="36"/>
    </row>
    <row r="74" spans="1:8">
      <c r="A74" s="36"/>
      <c r="B74" s="36"/>
      <c r="C74" s="36"/>
      <c r="D74" s="36"/>
      <c r="E74" s="36"/>
      <c r="F74" s="36"/>
      <c r="G74" s="36"/>
      <c r="H74" s="36"/>
    </row>
    <row r="75" spans="1:8">
      <c r="A75" s="36"/>
      <c r="B75" s="36"/>
      <c r="C75" s="36"/>
      <c r="D75" s="36"/>
      <c r="E75" s="36"/>
      <c r="F75" s="36"/>
      <c r="G75" s="36"/>
      <c r="H75" s="36"/>
    </row>
    <row r="76" spans="1:8">
      <c r="A76" s="36"/>
      <c r="B76" s="36"/>
      <c r="C76" s="36"/>
      <c r="D76" s="36"/>
      <c r="E76" s="36"/>
      <c r="F76" s="36"/>
      <c r="G76" s="36"/>
      <c r="H76" s="36"/>
    </row>
    <row r="77" spans="1:8">
      <c r="A77" s="36"/>
      <c r="B77" s="36"/>
      <c r="C77" s="36"/>
      <c r="D77" s="36"/>
      <c r="E77" s="36"/>
      <c r="F77" s="36"/>
      <c r="G77" s="36"/>
      <c r="H77" s="36"/>
    </row>
    <row r="78" spans="1:8">
      <c r="A78" s="36"/>
      <c r="B78" s="36"/>
      <c r="C78" s="36"/>
      <c r="D78" s="36"/>
      <c r="E78" s="36"/>
      <c r="F78" s="36"/>
      <c r="G78" s="36"/>
      <c r="H78" s="36"/>
    </row>
    <row r="79" spans="1:8">
      <c r="A79" s="36"/>
      <c r="B79" s="36"/>
      <c r="C79" s="36"/>
      <c r="D79" s="36"/>
      <c r="E79" s="36"/>
      <c r="F79" s="36"/>
      <c r="G79" s="36"/>
      <c r="H79" s="36"/>
    </row>
    <row r="80" spans="1:8">
      <c r="A80" s="36"/>
      <c r="B80" s="36"/>
      <c r="C80" s="36"/>
      <c r="D80" s="36"/>
      <c r="E80" s="36"/>
      <c r="F80" s="36"/>
      <c r="G80" s="36"/>
      <c r="H80" s="36"/>
    </row>
    <row r="81" spans="1:8">
      <c r="A81" s="36"/>
      <c r="B81" s="36"/>
      <c r="C81" s="36"/>
      <c r="D81" s="36"/>
      <c r="E81" s="36"/>
      <c r="F81" s="36"/>
      <c r="G81" s="36"/>
      <c r="H81" s="36"/>
    </row>
    <row r="82" spans="1:8">
      <c r="A82" s="36"/>
      <c r="B82" s="36"/>
      <c r="C82" s="36"/>
      <c r="D82" s="36"/>
      <c r="E82" s="36"/>
      <c r="F82" s="36"/>
      <c r="G82" s="36"/>
      <c r="H82" s="36"/>
    </row>
    <row r="83" spans="1:8">
      <c r="A83" s="36"/>
      <c r="B83" s="36"/>
      <c r="C83" s="36"/>
      <c r="D83" s="36"/>
      <c r="E83" s="36"/>
      <c r="F83" s="36"/>
      <c r="G83" s="36"/>
      <c r="H83" s="36"/>
    </row>
    <row r="84" spans="1:8">
      <c r="A84" s="36"/>
      <c r="B84" s="36"/>
      <c r="C84" s="36"/>
      <c r="D84" s="36"/>
      <c r="E84" s="36"/>
      <c r="F84" s="36"/>
      <c r="G84" s="36"/>
      <c r="H84" s="36"/>
    </row>
    <row r="85" spans="1:8">
      <c r="A85" s="36"/>
      <c r="B85" s="36"/>
      <c r="C85" s="36"/>
      <c r="D85" s="36"/>
      <c r="E85" s="36"/>
      <c r="F85" s="36"/>
      <c r="G85" s="36"/>
      <c r="H85" s="36"/>
    </row>
    <row r="86" spans="1:8">
      <c r="A86" s="36"/>
      <c r="B86" s="36"/>
      <c r="C86" s="36"/>
      <c r="D86" s="36"/>
      <c r="E86" s="36"/>
      <c r="F86" s="36"/>
      <c r="G86" s="36"/>
      <c r="H86" s="36"/>
    </row>
    <row r="87" spans="1:8">
      <c r="A87" s="36"/>
      <c r="B87" s="36"/>
      <c r="C87" s="36"/>
      <c r="D87" s="36"/>
      <c r="E87" s="36"/>
      <c r="F87" s="36"/>
      <c r="G87" s="36"/>
      <c r="H87" s="36"/>
    </row>
    <row r="88" spans="1:8">
      <c r="A88" s="36"/>
      <c r="B88" s="36"/>
      <c r="C88" s="36"/>
      <c r="D88" s="36"/>
      <c r="E88" s="36"/>
      <c r="F88" s="36"/>
      <c r="G88" s="36"/>
      <c r="H88" s="36"/>
    </row>
    <row r="89" spans="1:8">
      <c r="A89" s="36"/>
      <c r="B89" s="36"/>
      <c r="C89" s="36"/>
      <c r="D89" s="36"/>
      <c r="E89" s="36"/>
      <c r="F89" s="36"/>
      <c r="G89" s="36"/>
      <c r="H89" s="36"/>
    </row>
    <row r="90" spans="1:8">
      <c r="A90" s="36"/>
      <c r="B90" s="36"/>
      <c r="C90" s="36"/>
      <c r="D90" s="36"/>
      <c r="E90" s="36"/>
      <c r="F90" s="36"/>
      <c r="G90" s="36"/>
      <c r="H90" s="36"/>
    </row>
    <row r="91" spans="1:8">
      <c r="A91" s="36"/>
      <c r="B91" s="36"/>
      <c r="C91" s="36"/>
      <c r="D91" s="36"/>
      <c r="E91" s="36"/>
      <c r="F91" s="36"/>
      <c r="G91" s="36"/>
      <c r="H91" s="36"/>
    </row>
    <row r="92" spans="1:8">
      <c r="A92" s="36"/>
      <c r="B92" s="36"/>
      <c r="C92" s="36"/>
      <c r="D92" s="36"/>
      <c r="E92" s="36"/>
      <c r="F92" s="36"/>
      <c r="G92" s="36"/>
      <c r="H92" s="36"/>
    </row>
    <row r="93" spans="1:8">
      <c r="A93" s="36"/>
      <c r="B93" s="36"/>
      <c r="C93" s="36"/>
      <c r="D93" s="36"/>
      <c r="E93" s="36"/>
      <c r="F93" s="36"/>
      <c r="G93" s="36"/>
      <c r="H93" s="36"/>
    </row>
    <row r="94" spans="1:8">
      <c r="A94" s="36"/>
      <c r="B94" s="36"/>
      <c r="C94" s="36"/>
      <c r="D94" s="36"/>
      <c r="E94" s="36"/>
      <c r="F94" s="36"/>
      <c r="G94" s="36"/>
      <c r="H94" s="36"/>
    </row>
    <row r="95" spans="1:8">
      <c r="A95" s="36"/>
      <c r="B95" s="36"/>
      <c r="C95" s="36"/>
      <c r="D95" s="36"/>
      <c r="E95" s="36"/>
      <c r="F95" s="36"/>
      <c r="G95" s="36"/>
      <c r="H95" s="36"/>
    </row>
    <row r="96" spans="1:8">
      <c r="A96" s="36"/>
      <c r="B96" s="36"/>
      <c r="C96" s="36"/>
      <c r="D96" s="36"/>
      <c r="E96" s="36"/>
      <c r="F96" s="36"/>
      <c r="G96" s="36"/>
      <c r="H96" s="36"/>
    </row>
    <row r="97" spans="1:8">
      <c r="A97" s="36"/>
      <c r="B97" s="36"/>
      <c r="C97" s="36"/>
      <c r="D97" s="36"/>
      <c r="E97" s="36"/>
      <c r="F97" s="36"/>
      <c r="G97" s="36"/>
      <c r="H97" s="36"/>
    </row>
    <row r="98" spans="1:8">
      <c r="A98" s="36"/>
      <c r="B98" s="36"/>
      <c r="C98" s="36"/>
      <c r="D98" s="36"/>
      <c r="E98" s="36"/>
      <c r="F98" s="36"/>
      <c r="G98" s="36"/>
      <c r="H98" s="36"/>
    </row>
    <row r="99" spans="1:8">
      <c r="A99" s="36"/>
      <c r="B99" s="36"/>
      <c r="C99" s="36"/>
      <c r="D99" s="36"/>
      <c r="E99" s="36"/>
      <c r="F99" s="36"/>
      <c r="G99" s="36"/>
      <c r="H99" s="36"/>
    </row>
    <row r="100" spans="1:8">
      <c r="A100" s="36"/>
      <c r="B100" s="36"/>
      <c r="C100" s="36"/>
      <c r="D100" s="36"/>
      <c r="E100" s="36"/>
      <c r="F100" s="36"/>
      <c r="G100" s="36"/>
      <c r="H100" s="36"/>
    </row>
    <row r="101" spans="1:8">
      <c r="A101" s="36"/>
      <c r="B101" s="36"/>
      <c r="C101" s="36"/>
      <c r="D101" s="36"/>
      <c r="E101" s="36"/>
      <c r="F101" s="36"/>
      <c r="G101" s="36"/>
      <c r="H101" s="36"/>
    </row>
    <row r="102" spans="1:8">
      <c r="A102" s="36"/>
      <c r="B102" s="36"/>
      <c r="C102" s="36"/>
      <c r="D102" s="36"/>
      <c r="E102" s="36"/>
      <c r="F102" s="36"/>
      <c r="G102" s="36"/>
      <c r="H102" s="36"/>
    </row>
    <row r="103" spans="1:8">
      <c r="A103" s="36"/>
      <c r="B103" s="36"/>
      <c r="C103" s="36"/>
      <c r="D103" s="36"/>
      <c r="E103" s="36"/>
      <c r="F103" s="36"/>
      <c r="G103" s="36"/>
      <c r="H103" s="36"/>
    </row>
    <row r="104" spans="1:8">
      <c r="A104" s="36"/>
      <c r="B104" s="36"/>
      <c r="C104" s="36"/>
      <c r="D104" s="36"/>
      <c r="E104" s="36"/>
      <c r="F104" s="36"/>
      <c r="G104" s="36"/>
      <c r="H104" s="36"/>
    </row>
    <row r="105" spans="1:8">
      <c r="A105" s="36"/>
      <c r="B105" s="36"/>
      <c r="C105" s="36"/>
      <c r="D105" s="36"/>
      <c r="E105" s="36"/>
      <c r="F105" s="36"/>
      <c r="G105" s="36"/>
      <c r="H105" s="36"/>
    </row>
    <row r="106" spans="1:8">
      <c r="A106" s="36"/>
      <c r="B106" s="36"/>
      <c r="C106" s="36"/>
      <c r="D106" s="36"/>
      <c r="E106" s="36"/>
      <c r="F106" s="36"/>
      <c r="G106" s="36"/>
      <c r="H106" s="36"/>
    </row>
    <row r="107" spans="1:8">
      <c r="A107" s="36"/>
      <c r="B107" s="36"/>
      <c r="C107" s="36"/>
      <c r="D107" s="36"/>
      <c r="E107" s="36"/>
      <c r="F107" s="36"/>
      <c r="G107" s="36"/>
      <c r="H107" s="36"/>
    </row>
    <row r="108" spans="1:8">
      <c r="A108" s="36"/>
      <c r="B108" s="36"/>
      <c r="C108" s="36"/>
      <c r="D108" s="36"/>
      <c r="E108" s="36"/>
      <c r="F108" s="36"/>
      <c r="G108" s="36"/>
      <c r="H108" s="36"/>
    </row>
    <row r="109" spans="1:8">
      <c r="A109" s="36"/>
      <c r="B109" s="36"/>
      <c r="C109" s="36"/>
      <c r="D109" s="36"/>
      <c r="E109" s="36"/>
      <c r="F109" s="36"/>
      <c r="G109" s="36"/>
      <c r="H109" s="36"/>
    </row>
    <row r="110" spans="1:8">
      <c r="A110" s="36"/>
      <c r="B110" s="36"/>
      <c r="C110" s="36"/>
      <c r="D110" s="36"/>
      <c r="E110" s="36"/>
      <c r="F110" s="36"/>
      <c r="G110" s="36"/>
      <c r="H110" s="36"/>
    </row>
    <row r="111" spans="1:8">
      <c r="A111" s="36"/>
      <c r="B111" s="36"/>
      <c r="C111" s="36"/>
      <c r="D111" s="36"/>
      <c r="E111" s="36"/>
      <c r="F111" s="36"/>
      <c r="G111" s="36"/>
      <c r="H111" s="36"/>
    </row>
    <row r="112" spans="1:8">
      <c r="A112" s="36"/>
      <c r="B112" s="36"/>
      <c r="C112" s="36"/>
      <c r="D112" s="36"/>
      <c r="E112" s="36"/>
      <c r="F112" s="36"/>
      <c r="G112" s="36"/>
      <c r="H112" s="36"/>
    </row>
    <row r="113" spans="1:8">
      <c r="A113" s="36"/>
      <c r="B113" s="36"/>
      <c r="C113" s="36"/>
      <c r="D113" s="36"/>
      <c r="E113" s="36"/>
      <c r="F113" s="36"/>
      <c r="G113" s="36"/>
      <c r="H113" s="36"/>
    </row>
    <row r="114" spans="1:8">
      <c r="A114" s="36"/>
      <c r="B114" s="36"/>
      <c r="C114" s="36"/>
      <c r="D114" s="36"/>
      <c r="E114" s="36"/>
      <c r="F114" s="36"/>
      <c r="G114" s="36"/>
      <c r="H114" s="36"/>
    </row>
    <row r="115" spans="1:8">
      <c r="A115" s="36"/>
      <c r="B115" s="36"/>
      <c r="C115" s="36"/>
      <c r="D115" s="36"/>
      <c r="E115" s="36"/>
      <c r="F115" s="36"/>
      <c r="G115" s="36"/>
      <c r="H115" s="36"/>
    </row>
    <row r="116" spans="1:8">
      <c r="A116" s="36"/>
      <c r="B116" s="36"/>
      <c r="C116" s="36"/>
      <c r="D116" s="36"/>
      <c r="E116" s="36"/>
      <c r="F116" s="36"/>
      <c r="G116" s="36"/>
      <c r="H116" s="36"/>
    </row>
    <row r="117" spans="1:8">
      <c r="A117" s="36"/>
      <c r="B117" s="36"/>
      <c r="C117" s="36"/>
      <c r="D117" s="36"/>
      <c r="E117" s="36"/>
      <c r="F117" s="36"/>
      <c r="G117" s="36"/>
      <c r="H117" s="36"/>
    </row>
    <row r="118" spans="1:8">
      <c r="A118" s="36"/>
      <c r="B118" s="36"/>
      <c r="C118" s="36"/>
      <c r="D118" s="36"/>
      <c r="E118" s="36"/>
      <c r="F118" s="36"/>
      <c r="G118" s="36"/>
      <c r="H118" s="36"/>
    </row>
    <row r="119" spans="1:8">
      <c r="A119" s="36"/>
      <c r="B119" s="36"/>
      <c r="C119" s="36"/>
      <c r="D119" s="36"/>
      <c r="E119" s="36"/>
      <c r="F119" s="36"/>
      <c r="G119" s="36"/>
      <c r="H119" s="36"/>
    </row>
    <row r="120" spans="1:8">
      <c r="A120" s="36"/>
      <c r="B120" s="36"/>
      <c r="C120" s="36"/>
      <c r="D120" s="36"/>
      <c r="E120" s="36"/>
      <c r="F120" s="36"/>
      <c r="G120" s="36"/>
      <c r="H120" s="36"/>
    </row>
    <row r="121" spans="1:8">
      <c r="A121" s="36"/>
      <c r="B121" s="36"/>
      <c r="C121" s="36"/>
      <c r="D121" s="36"/>
      <c r="E121" s="36"/>
      <c r="F121" s="36"/>
      <c r="G121" s="36"/>
      <c r="H121" s="36"/>
    </row>
    <row r="122" spans="1:8">
      <c r="A122" s="36"/>
      <c r="B122" s="36"/>
      <c r="C122" s="36"/>
      <c r="D122" s="36"/>
      <c r="E122" s="36"/>
      <c r="F122" s="36"/>
      <c r="G122" s="36"/>
      <c r="H122" s="36"/>
    </row>
    <row r="123" spans="1:8">
      <c r="A123" s="36"/>
      <c r="B123" s="36"/>
      <c r="C123" s="36"/>
      <c r="D123" s="36"/>
      <c r="E123" s="36"/>
      <c r="F123" s="36"/>
      <c r="G123" s="36"/>
      <c r="H123" s="36"/>
    </row>
    <row r="124" spans="1:8">
      <c r="A124" s="36"/>
      <c r="B124" s="36"/>
      <c r="C124" s="36"/>
      <c r="D124" s="36"/>
      <c r="E124" s="36"/>
      <c r="F124" s="36"/>
      <c r="G124" s="36"/>
      <c r="H124" s="36"/>
    </row>
    <row r="125" spans="1:8">
      <c r="A125" s="36"/>
      <c r="B125" s="36"/>
      <c r="C125" s="36"/>
      <c r="D125" s="36"/>
      <c r="E125" s="36"/>
      <c r="F125" s="36"/>
      <c r="G125" s="36"/>
      <c r="H125" s="36"/>
    </row>
    <row r="126" spans="1:8">
      <c r="A126" s="36"/>
      <c r="B126" s="36"/>
      <c r="C126" s="36"/>
      <c r="D126" s="36"/>
      <c r="E126" s="36"/>
      <c r="F126" s="36"/>
      <c r="G126" s="36"/>
      <c r="H126" s="36"/>
    </row>
    <row r="127" spans="1:8">
      <c r="A127" s="36"/>
      <c r="B127" s="36"/>
      <c r="C127" s="36"/>
      <c r="D127" s="36"/>
      <c r="E127" s="36"/>
      <c r="F127" s="36"/>
      <c r="G127" s="36"/>
      <c r="H127" s="36"/>
    </row>
    <row r="128" spans="1:8">
      <c r="A128" s="36"/>
      <c r="B128" s="36"/>
      <c r="C128" s="36"/>
      <c r="D128" s="36"/>
      <c r="E128" s="36"/>
      <c r="F128" s="36"/>
      <c r="G128" s="36"/>
      <c r="H128" s="36"/>
    </row>
    <row r="129" spans="1:8">
      <c r="A129" s="36"/>
      <c r="B129" s="36"/>
      <c r="C129" s="36"/>
      <c r="D129" s="36"/>
      <c r="E129" s="36"/>
      <c r="F129" s="36"/>
      <c r="G129" s="36"/>
      <c r="H129" s="36"/>
    </row>
    <row r="130" spans="1:8">
      <c r="A130" s="36"/>
      <c r="B130" s="36"/>
      <c r="C130" s="36"/>
      <c r="D130" s="36"/>
      <c r="E130" s="36"/>
      <c r="F130" s="36"/>
      <c r="G130" s="36"/>
      <c r="H130" s="36"/>
    </row>
    <row r="131" spans="1:8">
      <c r="A131" s="50"/>
      <c r="B131" s="51" t="s">
        <v>384</v>
      </c>
      <c r="C131" s="52" t="s">
        <v>385</v>
      </c>
      <c r="D131" s="61" t="s">
        <v>6</v>
      </c>
      <c r="E131" s="52" t="s">
        <v>7</v>
      </c>
      <c r="F131" s="52" t="s">
        <v>8</v>
      </c>
      <c r="G131" s="62" t="s">
        <v>9</v>
      </c>
      <c r="H131" s="63" t="s">
        <v>386</v>
      </c>
    </row>
    <row r="132" spans="1:8">
      <c r="A132" s="50"/>
      <c r="B132" s="53">
        <v>1</v>
      </c>
      <c r="C132" s="54" t="s">
        <v>387</v>
      </c>
      <c r="D132" s="64" t="e">
        <f>'[2]Test cases'!A5</f>
        <v>#REF!</v>
      </c>
      <c r="E132" s="64">
        <f>'[1]Test cases'!B5</f>
        <v>22</v>
      </c>
      <c r="F132" s="64" t="str">
        <f>'[1]Test cases'!C6</f>
        <v>%</v>
      </c>
      <c r="G132" s="64" t="str">
        <f>'[1]Test cases'!D6</f>
        <v>%</v>
      </c>
      <c r="H132" s="64" t="e">
        <f>SUM(D132:G132)</f>
        <v>#REF!</v>
      </c>
    </row>
    <row r="133" spans="1:8">
      <c r="A133" s="50"/>
      <c r="B133" s="53">
        <v>2</v>
      </c>
      <c r="C133" s="55" t="s">
        <v>388</v>
      </c>
      <c r="D133" s="64"/>
      <c r="E133" s="64"/>
      <c r="F133" s="64"/>
      <c r="G133" s="64"/>
      <c r="H133" s="64"/>
    </row>
    <row r="134" spans="1:8">
      <c r="A134" s="50"/>
      <c r="B134" s="53">
        <v>3</v>
      </c>
      <c r="C134" s="55" t="s">
        <v>389</v>
      </c>
      <c r="D134" s="64"/>
      <c r="E134" s="64"/>
      <c r="F134" s="64"/>
      <c r="G134" s="64"/>
      <c r="H134" s="64"/>
    </row>
    <row r="135" spans="1:8">
      <c r="A135" s="50"/>
      <c r="B135" s="53">
        <v>4</v>
      </c>
      <c r="C135" s="55" t="s">
        <v>390</v>
      </c>
      <c r="D135" s="64"/>
      <c r="E135" s="64"/>
      <c r="F135" s="64"/>
      <c r="G135" s="64"/>
      <c r="H135" s="64"/>
    </row>
    <row r="136" spans="1:8">
      <c r="A136" s="50"/>
      <c r="B136" s="53">
        <v>5</v>
      </c>
      <c r="C136" s="55" t="s">
        <v>391</v>
      </c>
      <c r="D136" s="64"/>
      <c r="E136" s="64"/>
      <c r="F136" s="64"/>
      <c r="G136" s="64"/>
      <c r="H136" s="64"/>
    </row>
    <row r="137" spans="1:8">
      <c r="A137" s="50"/>
      <c r="B137" s="53">
        <v>6</v>
      </c>
      <c r="C137" s="55" t="s">
        <v>392</v>
      </c>
      <c r="D137" s="64"/>
      <c r="E137" s="64"/>
      <c r="F137" s="64"/>
      <c r="G137" s="64"/>
      <c r="H137" s="64"/>
    </row>
    <row r="138" spans="1:8">
      <c r="A138" s="50"/>
      <c r="B138" s="53">
        <v>7</v>
      </c>
      <c r="C138" s="56" t="s">
        <v>393</v>
      </c>
      <c r="D138" s="64"/>
      <c r="E138" s="64"/>
      <c r="F138" s="64"/>
      <c r="G138" s="64"/>
      <c r="H138" s="64"/>
    </row>
    <row r="139" spans="1:8">
      <c r="A139" s="50"/>
      <c r="B139" s="53">
        <v>8</v>
      </c>
      <c r="C139" s="55" t="s">
        <v>394</v>
      </c>
      <c r="D139" s="64"/>
      <c r="E139" s="64"/>
      <c r="F139" s="64"/>
      <c r="G139" s="64"/>
      <c r="H139" s="64"/>
    </row>
    <row r="140" spans="1:8">
      <c r="A140" s="50"/>
      <c r="B140" s="53">
        <v>9</v>
      </c>
      <c r="C140" s="55" t="s">
        <v>395</v>
      </c>
      <c r="D140" s="64"/>
      <c r="E140" s="64"/>
      <c r="F140" s="64"/>
      <c r="G140" s="64"/>
      <c r="H140" s="64"/>
    </row>
    <row r="141" spans="1:8">
      <c r="A141" s="50"/>
      <c r="B141" s="53">
        <v>10</v>
      </c>
      <c r="C141" s="56"/>
      <c r="D141" s="64"/>
      <c r="E141" s="64"/>
      <c r="F141" s="64"/>
      <c r="G141" s="64"/>
      <c r="H141" s="64"/>
    </row>
    <row r="142" spans="1:8">
      <c r="A142" s="50"/>
      <c r="B142" s="53">
        <v>11</v>
      </c>
      <c r="C142" s="56"/>
      <c r="D142" s="64"/>
      <c r="E142" s="64"/>
      <c r="F142" s="64"/>
      <c r="G142" s="64"/>
      <c r="H142" s="64"/>
    </row>
    <row r="143" spans="1:8">
      <c r="A143" s="50"/>
      <c r="B143" s="57"/>
      <c r="C143" s="58" t="s">
        <v>396</v>
      </c>
      <c r="D143" s="65" t="e">
        <f>SUM(D132:D142)</f>
        <v>#REF!</v>
      </c>
      <c r="E143" s="65">
        <f>SUM(E132:E142)</f>
        <v>22</v>
      </c>
      <c r="F143" s="65">
        <f>SUM(F132:F142)</f>
        <v>0</v>
      </c>
      <c r="G143" s="65">
        <f>SUM(G132:G142)</f>
        <v>0</v>
      </c>
      <c r="H143" s="66" t="e">
        <f>SUM(H132:H142)</f>
        <v>#REF!</v>
      </c>
    </row>
    <row r="144" spans="1:8">
      <c r="A144" s="36"/>
      <c r="B144" s="67"/>
      <c r="C144" s="36"/>
      <c r="D144" s="68"/>
      <c r="E144" s="69"/>
      <c r="F144" s="69"/>
      <c r="G144" s="69"/>
      <c r="H144" s="69"/>
    </row>
    <row r="145" spans="1:8">
      <c r="A145" s="36"/>
      <c r="B145" s="36"/>
      <c r="C145" s="60" t="s">
        <v>397</v>
      </c>
      <c r="D145" s="36"/>
      <c r="E145" s="70" t="e">
        <f>($D143+$E143)*100/$H143</f>
        <v>#REF!</v>
      </c>
      <c r="F145" s="36" t="s">
        <v>11</v>
      </c>
      <c r="G145" s="36"/>
      <c r="H145" s="71"/>
    </row>
    <row r="146" spans="1:8">
      <c r="A146" s="36"/>
      <c r="B146" s="36"/>
      <c r="C146" s="60" t="s">
        <v>398</v>
      </c>
      <c r="D146" s="36"/>
      <c r="E146" s="70" t="e">
        <f>$D143*100/($D143+$G143)</f>
        <v>#REF!</v>
      </c>
      <c r="F146" s="36" t="s">
        <v>11</v>
      </c>
      <c r="G146" s="36"/>
      <c r="H146" s="71"/>
    </row>
    <row r="150" spans="1:8">
      <c r="A150" s="50"/>
      <c r="B150" s="51"/>
      <c r="C150" s="52"/>
      <c r="D150" s="52"/>
      <c r="E150" s="52"/>
      <c r="F150" s="52"/>
      <c r="G150" s="52"/>
      <c r="H150" s="52"/>
    </row>
    <row r="151" spans="1:8">
      <c r="A151" s="50"/>
      <c r="B151" s="53"/>
      <c r="C151" s="54"/>
      <c r="D151" s="53"/>
      <c r="E151" s="53"/>
      <c r="F151" s="53"/>
      <c r="G151" s="53"/>
      <c r="H151" s="53"/>
    </row>
    <row r="152" spans="1:8">
      <c r="A152" s="50"/>
      <c r="B152" s="53"/>
      <c r="C152" s="55"/>
      <c r="D152" s="53"/>
      <c r="E152" s="53"/>
      <c r="F152" s="53"/>
      <c r="G152" s="53"/>
      <c r="H152" s="53"/>
    </row>
    <row r="153" spans="1:8">
      <c r="A153" s="50"/>
      <c r="B153" s="53"/>
      <c r="C153" s="55"/>
      <c r="D153" s="53"/>
      <c r="E153" s="53"/>
      <c r="F153" s="53"/>
      <c r="G153" s="53"/>
      <c r="H153" s="53"/>
    </row>
    <row r="154" spans="1:8">
      <c r="A154" s="50"/>
      <c r="B154" s="53"/>
      <c r="C154" s="55"/>
      <c r="D154" s="53"/>
      <c r="E154" s="53"/>
      <c r="F154" s="53"/>
      <c r="G154" s="53"/>
      <c r="H154" s="53"/>
    </row>
    <row r="155" spans="1:8">
      <c r="A155" s="50"/>
      <c r="B155" s="53"/>
      <c r="C155" s="55"/>
      <c r="D155" s="53"/>
      <c r="E155" s="53"/>
      <c r="F155" s="53"/>
      <c r="G155" s="53"/>
      <c r="H155" s="53"/>
    </row>
    <row r="156" spans="1:8">
      <c r="A156" s="50"/>
      <c r="B156" s="53"/>
      <c r="C156" s="55"/>
      <c r="D156" s="53"/>
      <c r="E156" s="53"/>
      <c r="F156" s="53"/>
      <c r="G156" s="53"/>
      <c r="H156" s="53"/>
    </row>
    <row r="157" spans="1:8">
      <c r="A157" s="50"/>
      <c r="B157" s="53"/>
      <c r="C157" s="56"/>
      <c r="D157" s="53"/>
      <c r="E157" s="53"/>
      <c r="F157" s="53"/>
      <c r="G157" s="53"/>
      <c r="H157" s="53"/>
    </row>
    <row r="158" spans="1:8">
      <c r="A158" s="50"/>
      <c r="B158" s="53"/>
      <c r="C158" s="55"/>
      <c r="D158" s="53"/>
      <c r="E158" s="53"/>
      <c r="F158" s="53"/>
      <c r="G158" s="53"/>
      <c r="H158" s="53"/>
    </row>
    <row r="159" spans="1:8">
      <c r="A159" s="50"/>
      <c r="B159" s="53"/>
      <c r="C159" s="56"/>
      <c r="D159" s="53"/>
      <c r="E159" s="53"/>
      <c r="F159" s="53"/>
      <c r="G159" s="53"/>
      <c r="H159" s="53"/>
    </row>
    <row r="160" spans="1:8">
      <c r="A160" s="50"/>
      <c r="B160" s="53"/>
      <c r="C160" s="56"/>
      <c r="D160" s="53"/>
      <c r="E160" s="53"/>
      <c r="F160" s="53"/>
      <c r="G160" s="53"/>
      <c r="H160" s="53"/>
    </row>
    <row r="161" spans="1:8">
      <c r="A161" s="50"/>
      <c r="B161" s="53"/>
      <c r="C161" s="56"/>
      <c r="D161" s="53"/>
      <c r="E161" s="53"/>
      <c r="F161" s="53"/>
      <c r="G161" s="53"/>
      <c r="H161" s="53"/>
    </row>
    <row r="162" spans="1:8">
      <c r="A162" s="50"/>
      <c r="B162" s="57"/>
      <c r="C162" s="58"/>
      <c r="D162" s="59"/>
      <c r="E162" s="59"/>
      <c r="F162" s="59"/>
      <c r="G162" s="59"/>
      <c r="H162" s="59"/>
    </row>
    <row r="165" spans="3:3">
      <c r="C165" s="60"/>
    </row>
    <row r="166" spans="3:3">
      <c r="C166" s="60"/>
    </row>
  </sheetData>
  <mergeCells count="11">
    <mergeCell ref="B1:H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</mergeCells>
  <hyperlinks>
    <hyperlink ref="C10" location="'Đăng nhập'!A1" display="Đăng nhập"/>
    <hyperlink ref="C11" location="'Đăng ký'!A1" display="Đăng ký"/>
    <hyperlink ref="C12" location="'Quên mật khẩu'!A1" display="Quên mật khẩu"/>
    <hyperlink ref="C13" location="'Tìm kiếm'!A1" display="Tìm kiếm"/>
    <hyperlink ref="C14" location="'Xem chi tiết sản phẩm'!A1" display="Xem chi tiết sản phẩm"/>
    <hyperlink ref="C15" location="'Xem tin tức, bình luận'!A1" display="Xem tin tức, bình luận"/>
    <hyperlink ref="C16" location="'Danh mục'!A1" display="Danh mục"/>
    <hyperlink ref="C17" location="'Giỏ hàng'!A1" display="Giỏ hàng"/>
    <hyperlink ref="C140" location="'Đặt hàng'!A1" display="Đặt hàng"/>
    <hyperlink ref="C139" location="'Giỏ hàng'!A1" display="Giỏ hàng"/>
    <hyperlink ref="C138" location="'Danh mục'!A1" display="Danh mục"/>
    <hyperlink ref="C137" location="'Xem tin tức, bình luận'!A1" display="Xem tin tức, bình luận"/>
    <hyperlink ref="C136" location="'Xem chi tiết sản phẩm'!A1" display="Xem chi tiết sản phẩm"/>
    <hyperlink ref="C135" location="'Tìm kiếm'!A1" display="Tìm kiếm"/>
    <hyperlink ref="C134" location="'Quên mật khẩu'!A1" display="Quên mật khẩu"/>
    <hyperlink ref="C133" location="'Đăng ký'!A1" display="Đăng ký"/>
    <hyperlink ref="C132" location="'Đăng nhập'!A1" display="Đăng nhập"/>
    <hyperlink ref="C18" location="'Đặt hàng'!A1" display="Đặt hàng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9" sqref="G9"/>
    </sheetView>
  </sheetViews>
  <sheetFormatPr defaultColWidth="9.14285714285714" defaultRowHeight="15" outlineLevelCol="6"/>
  <cols>
    <col min="2" max="2" width="16.8571428571429" customWidth="1"/>
    <col min="6" max="6" width="24.2857142857143" customWidth="1"/>
    <col min="7" max="7" width="49.8571428571429" customWidth="1"/>
  </cols>
  <sheetData>
    <row r="1" spans="1:7">
      <c r="A1" s="1"/>
      <c r="B1" s="2"/>
      <c r="C1" s="1"/>
      <c r="D1" s="1"/>
      <c r="E1" s="1"/>
      <c r="F1" s="1"/>
      <c r="G1" s="1"/>
    </row>
    <row r="2" ht="27" spans="1:7">
      <c r="A2" s="3"/>
      <c r="B2" s="4"/>
      <c r="C2" s="5" t="s">
        <v>399</v>
      </c>
      <c r="D2" s="6"/>
      <c r="E2" s="6"/>
      <c r="F2" s="6"/>
      <c r="G2" s="7"/>
    </row>
    <row r="3" spans="1:7">
      <c r="A3" s="1"/>
      <c r="B3" s="8"/>
      <c r="C3" s="9"/>
      <c r="D3" s="1"/>
      <c r="E3" s="1"/>
      <c r="F3" s="10"/>
      <c r="G3" s="1"/>
    </row>
    <row r="4" spans="1:7">
      <c r="A4" s="1"/>
      <c r="B4" s="11" t="s">
        <v>376</v>
      </c>
      <c r="C4" s="12"/>
      <c r="D4" s="6"/>
      <c r="E4" s="7"/>
      <c r="F4" s="11" t="s">
        <v>378</v>
      </c>
      <c r="G4" s="13"/>
    </row>
    <row r="5" spans="1:7">
      <c r="A5" s="1"/>
      <c r="B5" s="11" t="s">
        <v>379</v>
      </c>
      <c r="C5" s="12"/>
      <c r="D5" s="6"/>
      <c r="E5" s="7"/>
      <c r="F5" s="11" t="s">
        <v>380</v>
      </c>
      <c r="G5" s="13"/>
    </row>
    <row r="6" spans="1:7">
      <c r="A6" s="1"/>
      <c r="B6" s="14" t="s">
        <v>381</v>
      </c>
      <c r="C6" s="15"/>
      <c r="D6" s="16"/>
      <c r="E6" s="17"/>
      <c r="F6" s="11" t="s">
        <v>382</v>
      </c>
      <c r="G6" s="18"/>
    </row>
    <row r="7" spans="1:7">
      <c r="A7" s="1"/>
      <c r="B7" s="19"/>
      <c r="C7" s="20"/>
      <c r="D7" s="21"/>
      <c r="E7" s="22"/>
      <c r="F7" s="11" t="s">
        <v>400</v>
      </c>
      <c r="G7" s="23"/>
    </row>
    <row r="8" spans="1:7">
      <c r="A8" s="1"/>
      <c r="B8" s="8"/>
      <c r="C8" s="9"/>
      <c r="D8" s="1"/>
      <c r="E8" s="1"/>
      <c r="F8" s="8"/>
      <c r="G8" s="9"/>
    </row>
    <row r="9" spans="1:7">
      <c r="A9" s="1"/>
      <c r="B9" s="2"/>
      <c r="C9" s="1"/>
      <c r="D9" s="1"/>
      <c r="E9" s="1"/>
      <c r="F9" s="1"/>
      <c r="G9" s="1"/>
    </row>
    <row r="10" spans="1:7">
      <c r="A10" s="1"/>
      <c r="B10" s="24" t="s">
        <v>401</v>
      </c>
      <c r="C10" s="1"/>
      <c r="D10" s="1"/>
      <c r="E10" s="1"/>
      <c r="F10" s="1"/>
      <c r="G10" s="1"/>
    </row>
    <row r="11" spans="1:7">
      <c r="A11" s="25"/>
      <c r="B11" s="26" t="s">
        <v>402</v>
      </c>
      <c r="C11" s="27" t="s">
        <v>403</v>
      </c>
      <c r="D11" s="27" t="s">
        <v>404</v>
      </c>
      <c r="E11" s="28" t="s">
        <v>405</v>
      </c>
      <c r="F11" s="28" t="s">
        <v>19</v>
      </c>
      <c r="G11" s="25"/>
    </row>
    <row r="12" spans="1:7">
      <c r="A12" s="1"/>
      <c r="B12" s="29"/>
      <c r="C12" s="30"/>
      <c r="D12" s="31"/>
      <c r="E12" s="32"/>
      <c r="F12" s="32"/>
      <c r="G12" s="1"/>
    </row>
    <row r="13" spans="1:7">
      <c r="A13" s="1"/>
      <c r="B13" s="29"/>
      <c r="C13" s="30"/>
      <c r="D13" s="33"/>
      <c r="E13" s="32"/>
      <c r="F13" s="32"/>
      <c r="G13" s="1"/>
    </row>
    <row r="14" spans="1:7">
      <c r="A14" s="1"/>
      <c r="B14" s="18"/>
      <c r="C14" s="30"/>
      <c r="D14" s="33"/>
      <c r="E14" s="32"/>
      <c r="F14" s="32"/>
      <c r="G14" s="1"/>
    </row>
    <row r="15" spans="1:7">
      <c r="A15" s="1"/>
      <c r="B15" s="18"/>
      <c r="C15" s="30"/>
      <c r="D15" s="33"/>
      <c r="E15" s="33"/>
      <c r="F15" s="34"/>
      <c r="G15" s="1"/>
    </row>
    <row r="16" spans="1:7">
      <c r="A16" s="1"/>
      <c r="B16" s="18"/>
      <c r="C16" s="30"/>
      <c r="D16" s="33"/>
      <c r="E16" s="33"/>
      <c r="F16" s="34"/>
      <c r="G16" s="1"/>
    </row>
    <row r="17" spans="1:7">
      <c r="A17" s="1"/>
      <c r="B17" s="18"/>
      <c r="C17" s="30"/>
      <c r="D17" s="33"/>
      <c r="E17" s="33"/>
      <c r="F17" s="34"/>
      <c r="G17" s="1"/>
    </row>
    <row r="18" spans="1:7">
      <c r="A18" s="1"/>
      <c r="B18" s="18"/>
      <c r="C18" s="30"/>
      <c r="D18" s="35"/>
      <c r="E18" s="33"/>
      <c r="F18" s="34"/>
      <c r="G18" s="1"/>
    </row>
  </sheetData>
  <mergeCells count="5">
    <mergeCell ref="C2:G2"/>
    <mergeCell ref="C4:E4"/>
    <mergeCell ref="C5:E5"/>
    <mergeCell ref="B6:B7"/>
    <mergeCell ref="C6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Đăng nhập</vt:lpstr>
      <vt:lpstr>Tìm kiếm</vt:lpstr>
      <vt:lpstr>Trang chủ</vt:lpstr>
      <vt:lpstr>Giỏ hàng</vt:lpstr>
      <vt:lpstr>Sản phẩm</vt:lpstr>
      <vt:lpstr>Đơn Hàng</vt:lpstr>
      <vt:lpstr>Khuyến Mãi</vt:lpstr>
      <vt:lpstr>Test_Report</vt:lpstr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bichngoc</dc:creator>
  <cp:lastModifiedBy>Ngọc Bích</cp:lastModifiedBy>
  <dcterms:created xsi:type="dcterms:W3CDTF">2024-11-29T06:57:00Z</dcterms:created>
  <dcterms:modified xsi:type="dcterms:W3CDTF">2025-10-25T14:31:58Z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E5DDA905E2E9498BA102ABC84AAE4FE9_13</vt:lpwstr>
  </property>
  <property fmtid="{D5CDD505-2E9C-101B-9397-08002B2CF9AE}" pid="3" name="KSOProductBuildVer">
    <vt:lpwstr>1033-12.2.0.23131</vt:lpwstr>
  </property>
</Properties>
</file>